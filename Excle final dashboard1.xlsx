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OneDrive\Documents\"/>
    </mc:Choice>
  </mc:AlternateContent>
  <bookViews>
    <workbookView xWindow="0" yWindow="0" windowWidth="20490" windowHeight="7530" activeTab="1"/>
  </bookViews>
  <sheets>
    <sheet name="PIVOT TABLE" sheetId="1" r:id="rId1"/>
    <sheet name="DASHBOARD" sheetId="3" r:id="rId2"/>
  </sheets>
  <definedNames>
    <definedName name="Slicer_Year">#N/A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lectric_vehicle_analytics csv_6d389313-685e-4ef6-8c03-be0afeb76c84" name="electric_vehicle_analytics csv" connection="Query - electric_vehicle_analytics csv"/>
        </x15:modelTables>
      </x15:dataModel>
    </ext>
  </extLst>
</workbook>
</file>

<file path=xl/connections.xml><?xml version="1.0" encoding="utf-8"?>
<connections xmlns="http://schemas.openxmlformats.org/spreadsheetml/2006/main">
  <connection id="1" name="Query - electric_vehicle_analytics csv" description="Connection to the 'electric_vehicle_analytics csv' query in the workbook." type="100" refreshedVersion="6" minRefreshableVersion="5">
    <extLst>
      <ext xmlns:x15="http://schemas.microsoft.com/office/spreadsheetml/2010/11/main" uri="{DE250136-89BD-433C-8126-D09CA5730AF9}">
        <x15:connection id="4f58bdb5-bb30-4463-960f-f307109be748"/>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<sst xmlns="http://schemas.openxmlformats.org/spreadsheetml/2006/main" count="51" uniqueCount="31">
  <si>
    <t>Total Vehicle</t>
  </si>
  <si>
    <t>Insurence Cost</t>
  </si>
  <si>
    <t>Avg_Range_KM</t>
  </si>
  <si>
    <t>Battery_Health</t>
  </si>
  <si>
    <t>Charging Cost</t>
  </si>
  <si>
    <t>Row Labels</t>
  </si>
  <si>
    <t>Asia</t>
  </si>
  <si>
    <t>Australia</t>
  </si>
  <si>
    <t>Europe</t>
  </si>
  <si>
    <t>North America</t>
  </si>
  <si>
    <t>Grand Total</t>
  </si>
  <si>
    <t>Count of Vehicle_ID</t>
  </si>
  <si>
    <t>Hatchback</t>
  </si>
  <si>
    <t>Sedan</t>
  </si>
  <si>
    <t>SUV</t>
  </si>
  <si>
    <t>Truck</t>
  </si>
  <si>
    <t>Commercial</t>
  </si>
  <si>
    <t>Fleet</t>
  </si>
  <si>
    <t>Personal</t>
  </si>
  <si>
    <t>Count of Vehicle_Type</t>
  </si>
  <si>
    <t>Audi</t>
  </si>
  <si>
    <t>BMW</t>
  </si>
  <si>
    <t>Chevrolet</t>
  </si>
  <si>
    <t>Ford</t>
  </si>
  <si>
    <t>Hyundai</t>
  </si>
  <si>
    <t>Kia</t>
  </si>
  <si>
    <t>Mercedes</t>
  </si>
  <si>
    <t>Nissan</t>
  </si>
  <si>
    <t>Tesla</t>
  </si>
  <si>
    <t>Volkswagen</t>
  </si>
  <si>
    <t>Average of Maintenance_Cost_USD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</si>
</sst>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rgb="FF0967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2" borderId="0" xfId="0" applyFill="1"/>
    <xf numFmtId="0" fontId="0" fillId="3" borderId="0" xfId="0" applyFill="1"/>
    <xf numFmtId="0" fontId="1" fillId="3" borderId="0" xfId="0" applyFont="1" applyFill="1"/>
  </cellXfs>
  <cellStyles count="1">
    <cellStyle name="Normal" xfId="0" builtinId="0"/>
  </cellStyles>
  <dxfs count="20">
    <dxf>
      <numFmt numFmtId="2" formatCode="0.00"/>
    </dxf>
    <dxf>
      <numFmt numFmtId="168" formatCode="0.000"/>
    </dxf>
    <dxf>
      <numFmt numFmtId="167" formatCode="0.0000"/>
    </dxf>
    <dxf>
      <numFmt numFmtId="166" formatCode="0.00000"/>
    </dxf>
    <dxf>
      <numFmt numFmtId="165" formatCode="0.000000"/>
    </dxf>
    <dxf>
      <numFmt numFmtId="2" formatCode="0.00"/>
    </dxf>
    <dxf>
      <numFmt numFmtId="168" formatCode="0.000"/>
    </dxf>
    <dxf>
      <numFmt numFmtId="167" formatCode="0.0000"/>
    </dxf>
    <dxf>
      <numFmt numFmtId="166" formatCode="0.00000"/>
    </dxf>
    <dxf>
      <numFmt numFmtId="164" formatCode="0.0"/>
    </dxf>
    <dxf>
      <numFmt numFmtId="1" formatCode="0"/>
    </dxf>
    <dxf>
      <numFmt numFmtId="164" formatCode="0.0"/>
    </dxf>
    <dxf>
      <numFmt numFmtId="2" formatCode="0.00"/>
    </dxf>
    <dxf>
      <numFmt numFmtId="168" formatCode="0.000"/>
    </dxf>
    <dxf>
      <numFmt numFmtId="167" formatCode="0.0000"/>
    </dxf>
    <dxf>
      <numFmt numFmtId="2" formatCode="0.00"/>
    </dxf>
    <dxf>
      <numFmt numFmtId="168" formatCode="0.000"/>
    </dxf>
    <dxf>
      <numFmt numFmtId="167" formatCode="0.0000"/>
    </dxf>
    <dxf>
      <numFmt numFmtId="166" formatCode="0.00000"/>
    </dxf>
    <dxf>
      <numFmt numFmtId="165" formatCode="0.000000"/>
    </dxf>
  </dxfs>
  <tableStyles count="0" defaultTableStyle="TableStyleMedium2" defaultPivotStyle="PivotStyleLight16"/>
  <colors>
    <mruColors>
      <color rgb="FF096785"/>
      <color rgb="FFD76017"/>
      <color rgb="FF007CA8"/>
      <color rgb="FFFF6600"/>
      <color rgb="FF991F28"/>
      <color rgb="FF3D6B48"/>
      <color rgb="FF0C0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 Id="rId51" Type="http://schemas.openxmlformats.org/officeDocument/2006/relationships/customXml" Target="../customXml/item32.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[Excle final dashboard1.xlsx]PIVOT TABLE!PivotTable9</c:name>
    <c:fmtId val="2"/>
  </c:pivotSource>
  <c:chart>
    <c:autoTitleDeleted val="1"/>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5">
              <a:lumMod val="75000"/>
            </a:schemeClr>
          </a:solidFill>
          <a:ln w="9525" cap="flat" cmpd="sng" algn="ctr">
            <a:solidFill>
              <a:schemeClr val="accent5">
                <a:shade val="95000"/>
              </a:schemeClr>
            </a:solidFill>
            <a:round/>
          </a:ln>
          <a:effectLst/>
        </c:spPr>
        <c:marker>
          <c:symbol val="none"/>
        </c:marker>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pivotFmt>
      <c:pivotFmt>
        <c:idx val="7"/>
        <c:spPr>
          <a:solidFill>
            <a:schemeClr val="accent5">
              <a:lumMod val="75000"/>
            </a:schemeClr>
          </a:solidFill>
          <a:ln w="9525" cap="flat" cmpd="sng" algn="ctr">
            <a:solidFill>
              <a:schemeClr val="accent5">
                <a:shade val="95000"/>
              </a:schemeClr>
            </a:solidFill>
            <a:round/>
          </a:ln>
          <a:effectLst/>
        </c:spPr>
        <c:marker>
          <c:symbol val="none"/>
        </c:marker>
      </c:pivotFmt>
    </c:pivotFmts>
    <c:plotArea>
      <c:layout>
        <c:manualLayout>
          <c:layoutTarget val="inner"/>
          <c:xMode val="edge"/>
          <c:yMode val="edge"/>
          <c:x val="0.42591362826634627"/>
          <c:y val="0.14327209098862645"/>
          <c:w val="0.61487491467624722"/>
          <c:h val="0.66699912510936121"/>
        </c:manualLayout>
      </c:layout>
      <c:barChart>
        <c:barDir val="bar"/>
        <c:grouping val="clustered"/>
        <c:varyColors val="0"/>
        <c:ser>
          <c:idx val="0"/>
          <c:order val="0"/>
          <c:tx>
            <c:strRef>
              <c:f>'PIVOT TABLE'!$B$6</c:f>
              <c:strCache>
                <c:ptCount val="1"/>
                <c:pt idx="0">
                  <c:v>Total</c:v>
                </c:pt>
              </c:strCache>
            </c:strRef>
          </c:tx>
          <c:spPr>
            <a:solidFill>
              <a:schemeClr val="accent5">
                <a:lumMod val="75000"/>
              </a:schemeClr>
            </a:solidFill>
            <a:ln w="9525" cap="flat" cmpd="sng" algn="ctr">
              <a:solidFill>
                <a:schemeClr val="accent5">
                  <a:shade val="95000"/>
                </a:schemeClr>
              </a:solidFill>
              <a:round/>
            </a:ln>
            <a:effectLst/>
          </c:spPr>
          <c:invertIfNegative val="0"/>
          <c:dLbls>
            <c:delete val="1"/>
          </c:dLbls>
          <c:cat>
            <c:strRef>
              <c:f>'PIVOT TABLE'!$A$7:$A$11</c:f>
              <c:strCache>
                <c:ptCount val="4"/>
                <c:pt idx="0">
                  <c:v>Asia</c:v>
                </c:pt>
                <c:pt idx="1">
                  <c:v>Australia</c:v>
                </c:pt>
                <c:pt idx="2">
                  <c:v>Europe</c:v>
                </c:pt>
                <c:pt idx="3">
                  <c:v>North America</c:v>
                </c:pt>
              </c:strCache>
            </c:strRef>
          </c:cat>
          <c:val>
            <c:numRef>
              <c:f>'PIVOT TABLE'!$B$7:$B$11</c:f>
              <c:numCache>
                <c:formatCode>General</c:formatCode>
                <c:ptCount val="4"/>
                <c:pt idx="0">
                  <c:v>747</c:v>
                </c:pt>
                <c:pt idx="1">
                  <c:v>794</c:v>
                </c:pt>
                <c:pt idx="2">
                  <c:v>719</c:v>
                </c:pt>
                <c:pt idx="3">
                  <c:v>740</c:v>
                </c:pt>
              </c:numCache>
            </c:numRef>
          </c:val>
          <c:extLst>
            <c:ext xmlns:c16="http://schemas.microsoft.com/office/drawing/2014/chart" uri="{C3380CC4-5D6E-409C-BE32-E72D297353CC}">
              <c16:uniqueId val="{00000000-EDB9-4EBE-868E-2E7997B3EE0F}"/>
            </c:ext>
          </c:extLst>
        </c:ser>
        <c:dLbls>
          <c:showLegendKey val="0"/>
          <c:showVal val="1"/>
          <c:showCatName val="0"/>
          <c:showSerName val="0"/>
          <c:showPercent val="0"/>
          <c:showBubbleSize val="0"/>
        </c:dLbls>
        <c:gapWidth val="100"/>
        <c:axId val="322728976"/>
        <c:axId val="322727728"/>
      </c:barChart>
      <c:catAx>
        <c:axId val="3227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322727728"/>
        <c:crosses val="autoZero"/>
        <c:auto val="1"/>
        <c:lblAlgn val="ctr"/>
        <c:lblOffset val="100"/>
        <c:noMultiLvlLbl val="0"/>
      </c:catAx>
      <c:valAx>
        <c:axId val="32272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2728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final dashboard1.xlsx]PIVOT TABLE!PivotTable10</c:name>
    <c:fmtId val="3"/>
  </c:pivotSource>
  <c:chart>
    <c:autoTitleDeleted val="1"/>
    <c:pivotFmts>
      <c:pivotFmt>
        <c:idx val="0"/>
      </c:pivotFmt>
      <c:pivotFmt>
        <c:idx val="1"/>
      </c:pivotFmt>
      <c:pivotFmt>
        <c:idx val="2"/>
      </c:pivotFmt>
      <c:pivotFmt>
        <c:idx val="3"/>
        <c:spPr>
          <a:solidFill>
            <a:schemeClr val="accent1"/>
          </a:solidFill>
          <a:ln w="28575" cap="rnd" cmpd="sng">
            <a:solidFill>
              <a:schemeClr val="accent5">
                <a:lumMod val="75000"/>
              </a:schemeClr>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464807399681323"/>
              <c:y val="5.258569951483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707043019499843"/>
              <c:y val="-0.165596118666984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62468116767555E-2"/>
              <c:y val="6.87473156764495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947271014200149"/>
          <c:y val="5.2309711286089237E-2"/>
          <c:w val="0.79654593288471565"/>
          <c:h val="0.68609751053845547"/>
        </c:manualLayout>
      </c:layout>
      <c:lineChart>
        <c:grouping val="stacked"/>
        <c:varyColors val="0"/>
        <c:ser>
          <c:idx val="0"/>
          <c:order val="0"/>
          <c:tx>
            <c:strRef>
              <c:f>'PIVOT TABLE'!$E$6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792C-4399-AB50-03FBF401B3E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92C-4399-AB50-03FBF401B3E0}"/>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792C-4399-AB50-03FBF401B3E0}"/>
              </c:ext>
            </c:extLst>
          </c:dPt>
          <c:dLbls>
            <c:dLbl>
              <c:idx val="1"/>
              <c:layout>
                <c:manualLayout>
                  <c:x val="-0.12464807399681323"/>
                  <c:y val="5.25856995148333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92C-4399-AB50-03FBF401B3E0}"/>
                </c:ext>
              </c:extLst>
            </c:dLbl>
            <c:dLbl>
              <c:idx val="2"/>
              <c:layout>
                <c:manualLayout>
                  <c:x val="-0.13707043019499843"/>
                  <c:y val="-0.16559611866698479"/>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92C-4399-AB50-03FBF401B3E0}"/>
                </c:ext>
              </c:extLst>
            </c:dLbl>
            <c:dLbl>
              <c:idx val="9"/>
              <c:layout>
                <c:manualLayout>
                  <c:x val="-2.162468116767555E-2"/>
                  <c:y val="6.874731567644953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92C-4399-AB50-03FBF401B3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TABLE'!$D$7:$D$17</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'PIVOT TABLE'!$E$7:$E$17</c:f>
              <c:numCache>
                <c:formatCode>0.0</c:formatCode>
                <c:ptCount val="10"/>
                <c:pt idx="0">
                  <c:v>1149.1453287197232</c:v>
                </c:pt>
                <c:pt idx="1">
                  <c:v>1089.5337620578778</c:v>
                </c:pt>
                <c:pt idx="2">
                  <c:v>1088.8344155844156</c:v>
                </c:pt>
                <c:pt idx="3">
                  <c:v>1097.6996904024768</c:v>
                </c:pt>
                <c:pt idx="4">
                  <c:v>1084.3501683501684</c:v>
                </c:pt>
                <c:pt idx="5">
                  <c:v>1062.3881118881118</c:v>
                </c:pt>
                <c:pt idx="6">
                  <c:v>1129.1638225255972</c:v>
                </c:pt>
                <c:pt idx="7">
                  <c:v>1097.7382550335572</c:v>
                </c:pt>
                <c:pt idx="8">
                  <c:v>1123.0627177700349</c:v>
                </c:pt>
                <c:pt idx="9">
                  <c:v>1121.9025974025974</c:v>
                </c:pt>
              </c:numCache>
            </c:numRef>
          </c:val>
          <c:smooth val="0"/>
          <c:extLst>
            <c:ext xmlns:c16="http://schemas.microsoft.com/office/drawing/2014/chart" uri="{C3380CC4-5D6E-409C-BE32-E72D297353CC}">
              <c16:uniqueId val="{00000000-792C-4399-AB50-03FBF401B3E0}"/>
            </c:ext>
          </c:extLst>
        </c:ser>
        <c:dLbls>
          <c:dLblPos val="t"/>
          <c:showLegendKey val="0"/>
          <c:showVal val="1"/>
          <c:showCatName val="0"/>
          <c:showSerName val="0"/>
          <c:showPercent val="0"/>
          <c:showBubbleSize val="0"/>
        </c:dLbls>
        <c:marker val="1"/>
        <c:smooth val="0"/>
        <c:axId val="1046045792"/>
        <c:axId val="1046046624"/>
      </c:lineChart>
      <c:catAx>
        <c:axId val="104604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046046624"/>
        <c:crosses val="autoZero"/>
        <c:auto val="1"/>
        <c:lblAlgn val="ctr"/>
        <c:lblOffset val="100"/>
        <c:noMultiLvlLbl val="0"/>
      </c:catAx>
      <c:valAx>
        <c:axId val="10460466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046045792"/>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b="1">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final dashboard1.xlsx]PIVOT TABLE!PivotTable15</c:name>
    <c:fmtId val="2"/>
  </c:pivotSource>
  <c:chart>
    <c:autoTitleDeleted val="1"/>
    <c:pivotFmts>
      <c:pivotFmt>
        <c:idx val="0"/>
      </c:pivotFmt>
      <c:pivotFmt>
        <c:idx val="1"/>
      </c:pivotFmt>
      <c:pivotFmt>
        <c:idx val="2"/>
      </c:pivotFmt>
      <c:pivotFmt>
        <c:idx val="3"/>
      </c:pivotFmt>
      <c:pivotFmt>
        <c:idx val="4"/>
        <c:spPr>
          <a:solidFill>
            <a:schemeClr val="accent5">
              <a:lumMod val="75000"/>
            </a:schemeClr>
          </a:solidFill>
          <a:ln w="9525" cap="flat" cmpd="sng" algn="ctr">
            <a:solidFill>
              <a:schemeClr val="accent1">
                <a:shade val="95000"/>
              </a:schemeClr>
            </a:solidFill>
            <a:round/>
          </a:ln>
          <a:effectLst/>
        </c:spPr>
        <c:marker>
          <c:symbol val="none"/>
        </c:marker>
      </c:pivotFmt>
      <c:pivotFmt>
        <c:idx val="5"/>
        <c:spPr>
          <a:solidFill>
            <a:schemeClr val="accent5">
              <a:lumMod val="75000"/>
            </a:schemeClr>
          </a:solidFill>
          <a:ln w="9525" cap="flat" cmpd="sng" algn="ctr">
            <a:solidFill>
              <a:schemeClr val="accent1">
                <a:shade val="95000"/>
              </a:schemeClr>
            </a:solidFill>
            <a:round/>
          </a:ln>
          <a:effectLst/>
        </c:spPr>
        <c:marker>
          <c:symbol val="none"/>
        </c:marker>
      </c:pivotFmt>
    </c:pivotFmts>
    <c:plotArea>
      <c:layout>
        <c:manualLayout>
          <c:layoutTarget val="inner"/>
          <c:xMode val="edge"/>
          <c:yMode val="edge"/>
          <c:x val="0.16542932133483315"/>
          <c:y val="9.9601368010816829E-2"/>
          <c:w val="0.82943200061157407"/>
          <c:h val="0.64098179151041035"/>
        </c:manualLayout>
      </c:layout>
      <c:barChart>
        <c:barDir val="col"/>
        <c:grouping val="clustered"/>
        <c:varyColors val="0"/>
        <c:ser>
          <c:idx val="0"/>
          <c:order val="0"/>
          <c:tx>
            <c:strRef>
              <c:f>'PIVOT TABLE'!$E$19</c:f>
              <c:strCache>
                <c:ptCount val="1"/>
                <c:pt idx="0">
                  <c:v>Total</c:v>
                </c:pt>
              </c:strCache>
            </c:strRef>
          </c:tx>
          <c:spPr>
            <a:solidFill>
              <a:schemeClr val="accent5">
                <a:lumMod val="75000"/>
              </a:schemeClr>
            </a:solidFill>
            <a:ln w="9525" cap="flat" cmpd="sng" algn="ctr">
              <a:solidFill>
                <a:schemeClr val="accent1">
                  <a:shade val="95000"/>
                </a:schemeClr>
              </a:solidFill>
              <a:round/>
            </a:ln>
            <a:effectLst/>
          </c:spPr>
          <c:invertIfNegative val="0"/>
          <c:cat>
            <c:strRef>
              <c:f>'PIVOT TABLE'!$D$20:$D$24</c:f>
              <c:strCache>
                <c:ptCount val="4"/>
                <c:pt idx="0">
                  <c:v>Hatchback</c:v>
                </c:pt>
                <c:pt idx="1">
                  <c:v>Sedan</c:v>
                </c:pt>
                <c:pt idx="2">
                  <c:v>SUV</c:v>
                </c:pt>
                <c:pt idx="3">
                  <c:v>Truck</c:v>
                </c:pt>
              </c:strCache>
            </c:strRef>
          </c:cat>
          <c:val>
            <c:numRef>
              <c:f>'PIVOT TABLE'!$E$20:$E$24</c:f>
              <c:numCache>
                <c:formatCode>General</c:formatCode>
                <c:ptCount val="4"/>
                <c:pt idx="0">
                  <c:v>773</c:v>
                </c:pt>
                <c:pt idx="1">
                  <c:v>738</c:v>
                </c:pt>
                <c:pt idx="2">
                  <c:v>765</c:v>
                </c:pt>
                <c:pt idx="3">
                  <c:v>724</c:v>
                </c:pt>
              </c:numCache>
            </c:numRef>
          </c:val>
          <c:extLst>
            <c:ext xmlns:c16="http://schemas.microsoft.com/office/drawing/2014/chart" uri="{C3380CC4-5D6E-409C-BE32-E72D297353CC}">
              <c16:uniqueId val="{00000000-0AC8-452A-81C7-2A37A6DF8FA8}"/>
            </c:ext>
          </c:extLst>
        </c:ser>
        <c:dLbls>
          <c:showLegendKey val="0"/>
          <c:showVal val="0"/>
          <c:showCatName val="0"/>
          <c:showSerName val="0"/>
          <c:showPercent val="0"/>
          <c:showBubbleSize val="0"/>
        </c:dLbls>
        <c:gapWidth val="150"/>
        <c:axId val="393616352"/>
        <c:axId val="393615104"/>
      </c:barChart>
      <c:catAx>
        <c:axId val="39361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3615104"/>
        <c:crosses val="autoZero"/>
        <c:auto val="1"/>
        <c:lblAlgn val="ctr"/>
        <c:lblOffset val="100"/>
        <c:noMultiLvlLbl val="0"/>
      </c:catAx>
      <c:valAx>
        <c:axId val="39361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3616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[Excle final dashboard1.xlsx]PIVOT TABLE!PivotTable13</c:name>
    <c:fmtId val="2"/>
  </c:pivotSource>
  <c:chart>
    <c:autoTitleDeleted val="1"/>
    <c:pivotFmts>
      <c:pivotFmt>
        <c:idx val="0"/>
      </c:pivotFmt>
      <c:pivotFmt>
        <c:idx val="1"/>
      </c:pivotFmt>
      <c:pivotFmt>
        <c:idx val="2"/>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marker>
          <c:symbol val="none"/>
        </c:marker>
      </c:pivotFmt>
      <c:pivotFmt>
        <c:idx val="5"/>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932193291789447"/>
          <c:y val="2.2654214340035655E-2"/>
          <c:w val="0.71771283190828139"/>
          <c:h val="0.86415476650575229"/>
        </c:manualLayout>
      </c:layout>
      <c:barChart>
        <c:barDir val="bar"/>
        <c:grouping val="clustered"/>
        <c:varyColors val="0"/>
        <c:ser>
          <c:idx val="0"/>
          <c:order val="0"/>
          <c:tx>
            <c:strRef>
              <c:f>'PIVOT TABLE'!$B$13</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TABLE'!$A$14:$A$24</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'PIVOT TABLE'!$B$14:$B$24</c:f>
              <c:numCache>
                <c:formatCode>General</c:formatCode>
                <c:ptCount val="10"/>
                <c:pt idx="0">
                  <c:v>289</c:v>
                </c:pt>
                <c:pt idx="1">
                  <c:v>311</c:v>
                </c:pt>
                <c:pt idx="2">
                  <c:v>308</c:v>
                </c:pt>
                <c:pt idx="3">
                  <c:v>323</c:v>
                </c:pt>
                <c:pt idx="4">
                  <c:v>297</c:v>
                </c:pt>
                <c:pt idx="5">
                  <c:v>286</c:v>
                </c:pt>
                <c:pt idx="6">
                  <c:v>293</c:v>
                </c:pt>
                <c:pt idx="7">
                  <c:v>298</c:v>
                </c:pt>
                <c:pt idx="8">
                  <c:v>287</c:v>
                </c:pt>
                <c:pt idx="9">
                  <c:v>308</c:v>
                </c:pt>
              </c:numCache>
            </c:numRef>
          </c:val>
          <c:extLst>
            <c:ext xmlns:c16="http://schemas.microsoft.com/office/drawing/2014/chart" uri="{C3380CC4-5D6E-409C-BE32-E72D297353CC}">
              <c16:uniqueId val="{00000000-2666-4AE0-BD98-CBE7A4FDD29E}"/>
            </c:ext>
          </c:extLst>
        </c:ser>
        <c:dLbls>
          <c:dLblPos val="outEnd"/>
          <c:showLegendKey val="0"/>
          <c:showVal val="1"/>
          <c:showCatName val="0"/>
          <c:showSerName val="0"/>
          <c:showPercent val="0"/>
          <c:showBubbleSize val="0"/>
        </c:dLbls>
        <c:gapWidth val="115"/>
        <c:axId val="322884320"/>
        <c:axId val="322883072"/>
      </c:barChart>
      <c:catAx>
        <c:axId val="322884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22883072"/>
        <c:crosses val="autoZero"/>
        <c:auto val="1"/>
        <c:lblAlgn val="ctr"/>
        <c:lblOffset val="100"/>
        <c:noMultiLvlLbl val="0"/>
      </c:catAx>
      <c:valAx>
        <c:axId val="322883072"/>
        <c:scaling>
          <c:orientation val="minMax"/>
        </c:scaling>
        <c:delete val="1"/>
        <c:axPos val="b"/>
        <c:numFmt formatCode="General" sourceLinked="1"/>
        <c:majorTickMark val="none"/>
        <c:minorTickMark val="none"/>
        <c:tickLblPos val="nextTo"/>
        <c:crossAx val="32288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final dashboard1.xlsx]PIVOT TABLE!PivotTable12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D76017"/>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w="19050">
            <a:solidFill>
              <a:schemeClr val="lt1"/>
            </a:solidFill>
          </a:ln>
          <a:effectLst/>
        </c:spPr>
        <c:dLbl>
          <c:idx val="0"/>
          <c:layout>
            <c:manualLayout>
              <c:x val="-1.3975458481702526E-2"/>
              <c:y val="-1.19153780476235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11"/>
        <c:spPr>
          <a:solidFill>
            <a:srgbClr val="D76017"/>
          </a:solidFill>
          <a:ln w="19050">
            <a:solidFill>
              <a:schemeClr val="lt1"/>
            </a:solidFill>
          </a:ln>
          <a:effectLst/>
        </c:spPr>
        <c:dLbl>
          <c:idx val="0"/>
          <c:layout>
            <c:manualLayout>
              <c:x val="-0.16372469364896267"/>
              <c:y val="-0.11138791386016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50000"/>
            </a:schemeClr>
          </a:solidFill>
          <a:ln w="19050">
            <a:solidFill>
              <a:schemeClr val="lt1"/>
            </a:solidFill>
          </a:ln>
          <a:effectLst/>
        </c:spPr>
        <c:dLbl>
          <c:idx val="0"/>
          <c:layout>
            <c:manualLayout>
              <c:x val="1.0141932895330759E-2"/>
              <c:y val="6.1094772791955225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533727870003511"/>
          <c:y val="0"/>
          <c:w val="0.4512108597890232"/>
          <c:h val="0.85349524080574268"/>
        </c:manualLayout>
      </c:layout>
      <c:pieChart>
        <c:varyColors val="1"/>
        <c:ser>
          <c:idx val="0"/>
          <c:order val="0"/>
          <c:tx>
            <c:strRef>
              <c:f>'PIVOT TABLE'!$H$7</c:f>
              <c:strCache>
                <c:ptCount val="1"/>
                <c:pt idx="0">
                  <c:v>Total</c:v>
                </c:pt>
              </c:strCache>
            </c:strRef>
          </c:tx>
          <c:spPr>
            <a:solidFill>
              <a:srgbClr val="D76017"/>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00F6-4AC4-B7AC-3671195CE3E0}"/>
              </c:ext>
            </c:extLst>
          </c:dPt>
          <c:dPt>
            <c:idx val="1"/>
            <c:bubble3D val="0"/>
            <c:spPr>
              <a:solidFill>
                <a:srgbClr val="D76017"/>
              </a:solidFill>
              <a:ln w="19050">
                <a:solidFill>
                  <a:schemeClr val="lt1"/>
                </a:solidFill>
              </a:ln>
              <a:effectLst/>
            </c:spPr>
            <c:extLst>
              <c:ext xmlns:c16="http://schemas.microsoft.com/office/drawing/2014/chart" uri="{C3380CC4-5D6E-409C-BE32-E72D297353CC}">
                <c16:uniqueId val="{00000003-00F6-4AC4-B7AC-3671195CE3E0}"/>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00F6-4AC4-B7AC-3671195CE3E0}"/>
              </c:ext>
            </c:extLst>
          </c:dPt>
          <c:dLbls>
            <c:dLbl>
              <c:idx val="0"/>
              <c:layout>
                <c:manualLayout>
                  <c:x val="-1.3975458481702526E-2"/>
                  <c:y val="-1.191537804762356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1-00F6-4AC4-B7AC-3671195CE3E0}"/>
                </c:ext>
              </c:extLst>
            </c:dLbl>
            <c:dLbl>
              <c:idx val="1"/>
              <c:layout>
                <c:manualLayout>
                  <c:x val="-0.16372469364896267"/>
                  <c:y val="-0.11138791386016507"/>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0F6-4AC4-B7AC-3671195CE3E0}"/>
                </c:ext>
              </c:extLst>
            </c:dLbl>
            <c:dLbl>
              <c:idx val="2"/>
              <c:layout>
                <c:manualLayout>
                  <c:x val="1.0141932895330759E-2"/>
                  <c:y val="6.1094772791955225E-4"/>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0F6-4AC4-B7AC-3671195CE3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TABLE'!$G$8:$G$11</c:f>
              <c:strCache>
                <c:ptCount val="3"/>
                <c:pt idx="0">
                  <c:v>Commercial</c:v>
                </c:pt>
                <c:pt idx="1">
                  <c:v>Fleet</c:v>
                </c:pt>
                <c:pt idx="2">
                  <c:v>Personal</c:v>
                </c:pt>
              </c:strCache>
            </c:strRef>
          </c:cat>
          <c:val>
            <c:numRef>
              <c:f>'PIVOT TABLE'!$H$8:$H$11</c:f>
              <c:numCache>
                <c:formatCode>General</c:formatCode>
                <c:ptCount val="3"/>
                <c:pt idx="0">
                  <c:v>996</c:v>
                </c:pt>
                <c:pt idx="1">
                  <c:v>984</c:v>
                </c:pt>
                <c:pt idx="2">
                  <c:v>1020</c:v>
                </c:pt>
              </c:numCache>
            </c:numRef>
          </c:val>
          <c:extLst>
            <c:ext xmlns:c16="http://schemas.microsoft.com/office/drawing/2014/chart" uri="{C3380CC4-5D6E-409C-BE32-E72D297353CC}">
              <c16:uniqueId val="{00000006-00F6-4AC4-B7AC-3671195CE3E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968127401796295"/>
          <c:y val="0.15011192615821822"/>
          <c:w val="0.34031872598203705"/>
          <c:h val="0.46233233547789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1">
          <a:solidFill>
            <a:schemeClr val="tx1">
              <a:lumMod val="85000"/>
              <a:lumOff val="15000"/>
            </a:schemeClr>
          </a:solidFill>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[Excle final dashboard1.xlsx]PIVOT TABLE!PivotTable15</c:name>
    <c:fmtId val="5"/>
  </c:pivotSource>
  <c:chart>
    <c:autoTitleDeleted val="1"/>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29E-2"/>
              <c:y val="-5.0925925925925923E-2"/>
            </c:manualLayout>
          </c:layout>
          <c:tx>
            <c:rich>
              <a:bodyPr/>
              <a:lstStyle/>
              <a:p>
                <a:fld id="{6CC8632D-227D-4F45-862C-9691855C1910}"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layout>
            <c:manualLayout>
              <c:x val="4.1666666666666664E-2"/>
              <c:y val="-7.8703703703703748E-2"/>
            </c:manualLayout>
          </c:layout>
          <c:tx>
            <c:rich>
              <a:bodyPr/>
              <a:lstStyle/>
              <a:p>
                <a:fld id="{63600C66-D358-4B02-99EA-B0B2C9CDA504}"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layout>
            <c:manualLayout>
              <c:x val="-0.05"/>
              <c:y val="3.2407407407407406E-2"/>
            </c:manualLayout>
          </c:layout>
          <c:tx>
            <c:rich>
              <a:bodyPr/>
              <a:lstStyle/>
              <a:p>
                <a:fld id="{15A1F721-3DDC-408E-8911-C6A352BF2747}"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layout>
            <c:manualLayout>
              <c:x val="8.3333333333333232E-2"/>
              <c:y val="0"/>
            </c:manualLayout>
          </c:layout>
          <c:tx>
            <c:rich>
              <a:bodyPr/>
              <a:lstStyle/>
              <a:p>
                <a:fld id="{D6A51B32-2B6D-43F5-A81B-CECD6EB51A5E}"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1666666666666664E-2"/>
              <c:y val="-7.870370370370374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3600C66-D358-4B02-99EA-B0B2C9CDA504}"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8.3333333333333232E-2"/>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D6A51B32-2B6D-43F5-A81B-CECD6EB51A5E}"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05"/>
              <c:y val="3.2407407407407406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15A1F721-3DDC-408E-8911-C6A352BF2747}"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8.3333333333333329E-2"/>
              <c:y val="-5.092592592592592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CC8632D-227D-4F45-862C-9691855C1910}"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w="19050">
            <a:solidFill>
              <a:schemeClr val="lt1"/>
            </a:solidFill>
          </a:ln>
          <a:effectLst/>
        </c:spPr>
        <c:dLbl>
          <c:idx val="0"/>
          <c:layout>
            <c:manualLayout>
              <c:x val="4.1666666666666664E-2"/>
              <c:y val="-7.870370370370374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3600C66-D358-4B02-99EA-B0B2C9CDA504}"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FF6600"/>
          </a:solidFill>
          <a:ln w="19050">
            <a:solidFill>
              <a:schemeClr val="lt1"/>
            </a:solidFill>
          </a:ln>
          <a:effectLst/>
        </c:spPr>
        <c:dLbl>
          <c:idx val="0"/>
          <c:layout>
            <c:manualLayout>
              <c:x val="8.3333333333333232E-2"/>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D6A51B32-2B6D-43F5-A81B-CECD6EB51A5E}"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lumMod val="50000"/>
            </a:schemeClr>
          </a:solidFill>
          <a:ln w="19050">
            <a:solidFill>
              <a:schemeClr val="lt1"/>
            </a:solidFill>
          </a:ln>
          <a:effectLst/>
        </c:spPr>
        <c:dLbl>
          <c:idx val="0"/>
          <c:layout>
            <c:manualLayout>
              <c:x val="-0.14240932754692792"/>
              <c:y val="-5.757213504799119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15A1F721-3DDC-408E-8911-C6A352BF2747}"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007CA8"/>
          </a:solidFill>
          <a:ln w="19050">
            <a:solidFill>
              <a:schemeClr val="lt1"/>
            </a:solidFill>
          </a:ln>
          <a:effectLst/>
        </c:spPr>
        <c:dLbl>
          <c:idx val="0"/>
          <c:layout>
            <c:manualLayout>
              <c:x val="-8.3333333333333329E-2"/>
              <c:y val="-5.092592592592592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CC8632D-227D-4F45-862C-9691855C1910}" type="PERCENTAGE">
                  <a:rPr lang="en-US"/>
                  <a:pPr>
                    <a:defRPr sz="12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dLbl>
          <c:idx val="0"/>
          <c:layout>
            <c:manualLayout>
              <c:x val="4.1666666666666664E-2"/>
              <c:y val="-7.870370370370374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3600C66-D358-4B02-99EA-B0B2C9CDA504}" type="PERCENTAGE">
                  <a:rPr lang="en-US"/>
                  <a:pPr>
                    <a:defRPr sz="12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8"/>
        <c:spPr>
          <a:solidFill>
            <a:srgbClr val="FF6600"/>
          </a:solidFill>
          <a:ln w="19050">
            <a:solidFill>
              <a:schemeClr val="lt1"/>
            </a:solidFill>
          </a:ln>
          <a:effectLst/>
        </c:spPr>
        <c:dLbl>
          <c:idx val="0"/>
          <c:layout>
            <c:manualLayout>
              <c:x val="8.3333333333333232E-2"/>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D6A51B32-2B6D-43F5-A81B-CECD6EB51A5E}" type="PERCENTAGE">
                  <a:rPr lang="en-US"/>
                  <a:pPr>
                    <a:defRPr sz="12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9"/>
        <c:spPr>
          <a:solidFill>
            <a:schemeClr val="accent6">
              <a:lumMod val="50000"/>
            </a:schemeClr>
          </a:solidFill>
          <a:ln w="19050">
            <a:solidFill>
              <a:schemeClr val="lt1"/>
            </a:solidFill>
          </a:ln>
          <a:effectLst/>
        </c:spPr>
        <c:dLbl>
          <c:idx val="0"/>
          <c:layout>
            <c:manualLayout>
              <c:x val="-0.14240932754692792"/>
              <c:y val="-5.7572135047991198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15A1F721-3DDC-408E-8911-C6A352BF2747}" type="PERCENTAGE">
                  <a:rPr lang="en-US"/>
                  <a:pPr>
                    <a:defRPr sz="12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0"/>
        <c:spPr>
          <a:solidFill>
            <a:srgbClr val="007CA8"/>
          </a:solidFill>
          <a:ln w="19050">
            <a:solidFill>
              <a:schemeClr val="lt1"/>
            </a:solidFill>
          </a:ln>
          <a:effectLst/>
        </c:spPr>
        <c:dLbl>
          <c:idx val="0"/>
          <c:layout>
            <c:manualLayout>
              <c:x val="-8.3333333333333329E-2"/>
              <c:y val="-5.092592592592592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6CC8632D-227D-4F45-862C-9691855C1910}" type="PERCENTAGE">
                  <a:rPr lang="en-US"/>
                  <a:pPr>
                    <a:defRPr sz="12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9.1065087452303781E-2"/>
          <c:y val="5.7575644098262435E-2"/>
          <c:w val="0.60781005315512027"/>
          <c:h val="0.92139419990584615"/>
        </c:manualLayout>
      </c:layout>
      <c:doughnutChart>
        <c:varyColors val="1"/>
        <c:ser>
          <c:idx val="0"/>
          <c:order val="0"/>
          <c:tx>
            <c:strRef>
              <c:f>'PIVOT TABLE'!$E$19</c:f>
              <c:strCache>
                <c:ptCount val="1"/>
                <c:pt idx="0">
                  <c:v>Total</c:v>
                </c:pt>
              </c:strCache>
            </c:strRef>
          </c:tx>
          <c:spPr>
            <a:solidFill>
              <a:srgbClr val="00B0F0"/>
            </a:solidFill>
          </c:spPr>
          <c:explosion val="2"/>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854-4BC9-A19A-3E7DD7214BC2}"/>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2854-4BC9-A19A-3E7DD7214BC2}"/>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854-4BC9-A19A-3E7DD7214BC2}"/>
              </c:ext>
            </c:extLst>
          </c:dPt>
          <c:dPt>
            <c:idx val="3"/>
            <c:bubble3D val="0"/>
            <c:spPr>
              <a:solidFill>
                <a:srgbClr val="007CA8"/>
              </a:solidFill>
              <a:ln w="19050">
                <a:solidFill>
                  <a:schemeClr val="lt1"/>
                </a:solidFill>
              </a:ln>
              <a:effectLst/>
            </c:spPr>
            <c:extLst>
              <c:ext xmlns:c16="http://schemas.microsoft.com/office/drawing/2014/chart" uri="{C3380CC4-5D6E-409C-BE32-E72D297353CC}">
                <c16:uniqueId val="{00000007-2854-4BC9-A19A-3E7DD7214BC2}"/>
              </c:ext>
            </c:extLst>
          </c:dPt>
          <c:dLbls>
            <c:dLbl>
              <c:idx val="0"/>
              <c:layout>
                <c:manualLayout>
                  <c:x val="4.1666666666666664E-2"/>
                  <c:y val="-7.8703703703703748E-2"/>
                </c:manualLayout>
              </c:layout>
              <c:tx>
                <c:rich>
                  <a:bodyPr/>
                  <a:lstStyle/>
                  <a:p>
                    <a:fld id="{63600C66-D358-4B02-99EA-B0B2C9CDA504}"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2854-4BC9-A19A-3E7DD7214BC2}"/>
                </c:ext>
              </c:extLst>
            </c:dLbl>
            <c:dLbl>
              <c:idx val="1"/>
              <c:layout>
                <c:manualLayout>
                  <c:x val="8.3333333333333232E-2"/>
                  <c:y val="0"/>
                </c:manualLayout>
              </c:layout>
              <c:tx>
                <c:rich>
                  <a:bodyPr/>
                  <a:lstStyle/>
                  <a:p>
                    <a:fld id="{D6A51B32-2B6D-43F5-A81B-CECD6EB51A5E}"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2854-4BC9-A19A-3E7DD7214BC2}"/>
                </c:ext>
              </c:extLst>
            </c:dLbl>
            <c:dLbl>
              <c:idx val="2"/>
              <c:layout>
                <c:manualLayout>
                  <c:x val="-0.14240932754692792"/>
                  <c:y val="-5.7572135047991198E-2"/>
                </c:manualLayout>
              </c:layout>
              <c:tx>
                <c:rich>
                  <a:bodyPr/>
                  <a:lstStyle/>
                  <a:p>
                    <a:fld id="{15A1F721-3DDC-408E-8911-C6A352BF2747}"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2854-4BC9-A19A-3E7DD7214BC2}"/>
                </c:ext>
              </c:extLst>
            </c:dLbl>
            <c:dLbl>
              <c:idx val="3"/>
              <c:layout>
                <c:manualLayout>
                  <c:x val="-8.3333333333333329E-2"/>
                  <c:y val="-5.0925925925925923E-2"/>
                </c:manualLayout>
              </c:layout>
              <c:tx>
                <c:rich>
                  <a:bodyPr/>
                  <a:lstStyle/>
                  <a:p>
                    <a:fld id="{6CC8632D-227D-4F45-862C-9691855C1910}"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2854-4BC9-A19A-3E7DD7214BC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TABLE'!$D$20:$D$24</c:f>
              <c:strCache>
                <c:ptCount val="4"/>
                <c:pt idx="0">
                  <c:v>Hatchback</c:v>
                </c:pt>
                <c:pt idx="1">
                  <c:v>Sedan</c:v>
                </c:pt>
                <c:pt idx="2">
                  <c:v>SUV</c:v>
                </c:pt>
                <c:pt idx="3">
                  <c:v>Truck</c:v>
                </c:pt>
              </c:strCache>
            </c:strRef>
          </c:cat>
          <c:val>
            <c:numRef>
              <c:f>'PIVOT TABLE'!$E$20:$E$24</c:f>
              <c:numCache>
                <c:formatCode>General</c:formatCode>
                <c:ptCount val="4"/>
                <c:pt idx="0">
                  <c:v>773</c:v>
                </c:pt>
                <c:pt idx="1">
                  <c:v>738</c:v>
                </c:pt>
                <c:pt idx="2">
                  <c:v>765</c:v>
                </c:pt>
                <c:pt idx="3">
                  <c:v>724</c:v>
                </c:pt>
              </c:numCache>
            </c:numRef>
          </c:val>
          <c:extLst>
            <c:ext xmlns:c16="http://schemas.microsoft.com/office/drawing/2014/chart" uri="{C3380CC4-5D6E-409C-BE32-E72D297353CC}">
              <c16:uniqueId val="{00000008-2854-4BC9-A19A-3E7DD7214BC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388174250495914"/>
          <c:y val="0.290936690238561"/>
          <c:w val="0.31611813229228697"/>
          <c:h val="0.426526924915714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jpe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209552</xdr:colOff>
      <xdr:row>0</xdr:row>
      <xdr:rowOff>47625</xdr:rowOff>
    </xdr:from>
    <xdr:to>
      <xdr:col>9</xdr:col>
      <xdr:colOff>152400</xdr:colOff>
      <xdr:row>4</xdr:row>
      <xdr:rowOff>85725</xdr:rowOff>
    </xdr:to>
    <xdr:sp macro="" textlink="">
      <xdr:nvSpPr>
        <xdr:cNvPr id="2" name="Rounded Rectangle 1"/>
        <xdr:cNvSpPr/>
      </xdr:nvSpPr>
      <xdr:spPr>
        <a:xfrm>
          <a:off x="4476752" y="47625"/>
          <a:ext cx="1162048" cy="8001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   </a:t>
          </a:r>
        </a:p>
        <a:p>
          <a:pPr algn="ctr"/>
          <a:r>
            <a:rPr lang="en-US" sz="1400" b="1"/>
            <a:t> 3000</a:t>
          </a:r>
          <a:r>
            <a:rPr lang="en-US" sz="1100" b="1"/>
            <a:t/>
          </a:r>
          <a:br>
            <a:rPr lang="en-US" sz="1100" b="1"/>
          </a:br>
          <a:r>
            <a:rPr lang="en-US" sz="1100" b="1"/>
            <a:t>Total</a:t>
          </a:r>
          <a:r>
            <a:rPr lang="en-US" sz="1100" b="1" baseline="0"/>
            <a:t> _Vehicle</a:t>
          </a:r>
          <a:endParaRPr lang="en-US" sz="1100" b="1"/>
        </a:p>
      </xdr:txBody>
    </xdr:sp>
    <xdr:clientData/>
  </xdr:twoCellAnchor>
  <xdr:twoCellAnchor>
    <xdr:from>
      <xdr:col>15</xdr:col>
      <xdr:colOff>409576</xdr:colOff>
      <xdr:row>0</xdr:row>
      <xdr:rowOff>28575</xdr:rowOff>
    </xdr:from>
    <xdr:to>
      <xdr:col>17</xdr:col>
      <xdr:colOff>438150</xdr:colOff>
      <xdr:row>4</xdr:row>
      <xdr:rowOff>47625</xdr:rowOff>
    </xdr:to>
    <xdr:sp macro="" textlink="">
      <xdr:nvSpPr>
        <xdr:cNvPr id="4" name="Rounded Rectangle 3"/>
        <xdr:cNvSpPr/>
      </xdr:nvSpPr>
      <xdr:spPr>
        <a:xfrm>
          <a:off x="9553576" y="28575"/>
          <a:ext cx="1247774" cy="7810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400" b="1"/>
        </a:p>
        <a:p>
          <a:pPr algn="ctr"/>
          <a:r>
            <a:rPr lang="en-US" sz="1400" b="1"/>
            <a:t>374.41</a:t>
          </a:r>
        </a:p>
        <a:p>
          <a:pPr algn="ctr"/>
          <a:r>
            <a:rPr lang="en-US" sz="1100" b="1"/>
            <a:t>AVG_Range_KM</a:t>
          </a:r>
        </a:p>
      </xdr:txBody>
    </xdr:sp>
    <xdr:clientData/>
  </xdr:twoCellAnchor>
  <xdr:twoCellAnchor>
    <xdr:from>
      <xdr:col>11</xdr:col>
      <xdr:colOff>276225</xdr:colOff>
      <xdr:row>0</xdr:row>
      <xdr:rowOff>47626</xdr:rowOff>
    </xdr:from>
    <xdr:to>
      <xdr:col>13</xdr:col>
      <xdr:colOff>323850</xdr:colOff>
      <xdr:row>4</xdr:row>
      <xdr:rowOff>66676</xdr:rowOff>
    </xdr:to>
    <xdr:sp macro="" textlink="">
      <xdr:nvSpPr>
        <xdr:cNvPr id="5" name="Rounded Rectangle 4"/>
        <xdr:cNvSpPr/>
      </xdr:nvSpPr>
      <xdr:spPr>
        <a:xfrm>
          <a:off x="6981825" y="47626"/>
          <a:ext cx="1266825" cy="7810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400" b="1"/>
        </a:p>
        <a:p>
          <a:pPr algn="ctr"/>
          <a:r>
            <a:rPr lang="en-US" sz="1400" b="1"/>
            <a:t>85.03</a:t>
          </a:r>
        </a:p>
        <a:p>
          <a:pPr algn="ctr"/>
          <a:r>
            <a:rPr lang="en-US" sz="1100" b="1"/>
            <a:t>Battery_Health</a:t>
          </a:r>
        </a:p>
      </xdr:txBody>
    </xdr:sp>
    <xdr:clientData/>
  </xdr:twoCellAnchor>
  <xdr:twoCellAnchor>
    <xdr:from>
      <xdr:col>13</xdr:col>
      <xdr:colOff>342900</xdr:colOff>
      <xdr:row>0</xdr:row>
      <xdr:rowOff>38102</xdr:rowOff>
    </xdr:from>
    <xdr:to>
      <xdr:col>15</xdr:col>
      <xdr:colOff>390525</xdr:colOff>
      <xdr:row>4</xdr:row>
      <xdr:rowOff>47625</xdr:rowOff>
    </xdr:to>
    <xdr:sp macro="" textlink="">
      <xdr:nvSpPr>
        <xdr:cNvPr id="6" name="Rounded Rectangle 5"/>
        <xdr:cNvSpPr/>
      </xdr:nvSpPr>
      <xdr:spPr>
        <a:xfrm>
          <a:off x="8267700" y="38102"/>
          <a:ext cx="1266825" cy="7715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400" b="1"/>
        </a:p>
        <a:p>
          <a:pPr algn="ctr"/>
          <a:r>
            <a:rPr lang="en-US" sz="1400" b="1"/>
            <a:t>418.81</a:t>
          </a:r>
        </a:p>
        <a:p>
          <a:pPr algn="ctr"/>
          <a:r>
            <a:rPr lang="en-US" sz="1100" b="1"/>
            <a:t>Charging_Cost</a:t>
          </a:r>
        </a:p>
      </xdr:txBody>
    </xdr:sp>
    <xdr:clientData/>
  </xdr:twoCellAnchor>
  <xdr:twoCellAnchor>
    <xdr:from>
      <xdr:col>9</xdr:col>
      <xdr:colOff>180976</xdr:colOff>
      <xdr:row>0</xdr:row>
      <xdr:rowOff>38100</xdr:rowOff>
    </xdr:from>
    <xdr:to>
      <xdr:col>11</xdr:col>
      <xdr:colOff>247650</xdr:colOff>
      <xdr:row>4</xdr:row>
      <xdr:rowOff>76200</xdr:rowOff>
    </xdr:to>
    <xdr:sp macro="" textlink="">
      <xdr:nvSpPr>
        <xdr:cNvPr id="10" name="Rounded Rectangle 9"/>
        <xdr:cNvSpPr/>
      </xdr:nvSpPr>
      <xdr:spPr>
        <a:xfrm>
          <a:off x="5667376" y="38100"/>
          <a:ext cx="1285874" cy="800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400" b="1"/>
        </a:p>
        <a:p>
          <a:pPr algn="ctr"/>
          <a:r>
            <a:rPr lang="en-US" sz="1400" b="1"/>
            <a:t>    1495.47</a:t>
          </a:r>
        </a:p>
        <a:p>
          <a:pPr algn="ctr"/>
          <a:r>
            <a:rPr lang="en-US" sz="1200" b="1"/>
            <a:t>Insurence</a:t>
          </a:r>
          <a:r>
            <a:rPr lang="en-US" sz="1200" b="1" baseline="0"/>
            <a:t> _Cost</a:t>
          </a:r>
          <a:endParaRPr lang="en-US" sz="1200" b="1"/>
        </a:p>
      </xdr:txBody>
    </xdr:sp>
    <xdr:clientData/>
  </xdr:twoCellAnchor>
  <xdr:twoCellAnchor>
    <xdr:from>
      <xdr:col>1</xdr:col>
      <xdr:colOff>409576</xdr:colOff>
      <xdr:row>4</xdr:row>
      <xdr:rowOff>114301</xdr:rowOff>
    </xdr:from>
    <xdr:to>
      <xdr:col>7</xdr:col>
      <xdr:colOff>19050</xdr:colOff>
      <xdr:row>13</xdr:row>
      <xdr:rowOff>114300</xdr:rowOff>
    </xdr:to>
    <xdr:sp macro="" textlink="">
      <xdr:nvSpPr>
        <xdr:cNvPr id="15" name="Rounded Rectangle 14"/>
        <xdr:cNvSpPr/>
      </xdr:nvSpPr>
      <xdr:spPr>
        <a:xfrm>
          <a:off x="1019176" y="876301"/>
          <a:ext cx="3267074" cy="171449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xdr:colOff>
      <xdr:row>4</xdr:row>
      <xdr:rowOff>114301</xdr:rowOff>
    </xdr:from>
    <xdr:to>
      <xdr:col>12</xdr:col>
      <xdr:colOff>304799</xdr:colOff>
      <xdr:row>13</xdr:row>
      <xdr:rowOff>133350</xdr:rowOff>
    </xdr:to>
    <xdr:sp macro="" textlink="">
      <xdr:nvSpPr>
        <xdr:cNvPr id="16" name="Rounded Rectangle 15"/>
        <xdr:cNvSpPr/>
      </xdr:nvSpPr>
      <xdr:spPr>
        <a:xfrm>
          <a:off x="4324350" y="876301"/>
          <a:ext cx="3295649" cy="173354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xma</a:t>
          </a:r>
        </a:p>
      </xdr:txBody>
    </xdr:sp>
    <xdr:clientData/>
  </xdr:twoCellAnchor>
  <xdr:twoCellAnchor>
    <xdr:from>
      <xdr:col>12</xdr:col>
      <xdr:colOff>352425</xdr:colOff>
      <xdr:row>4</xdr:row>
      <xdr:rowOff>85726</xdr:rowOff>
    </xdr:from>
    <xdr:to>
      <xdr:col>17</xdr:col>
      <xdr:colOff>447676</xdr:colOff>
      <xdr:row>13</xdr:row>
      <xdr:rowOff>57149</xdr:rowOff>
    </xdr:to>
    <xdr:sp macro="" textlink="">
      <xdr:nvSpPr>
        <xdr:cNvPr id="17" name="Rounded Rectangle 16"/>
        <xdr:cNvSpPr/>
      </xdr:nvSpPr>
      <xdr:spPr>
        <a:xfrm>
          <a:off x="7667625" y="847726"/>
          <a:ext cx="3143251" cy="168592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6</xdr:col>
      <xdr:colOff>590551</xdr:colOff>
      <xdr:row>13</xdr:row>
      <xdr:rowOff>161925</xdr:rowOff>
    </xdr:from>
    <xdr:to>
      <xdr:col>12</xdr:col>
      <xdr:colOff>295274</xdr:colOff>
      <xdr:row>22</xdr:row>
      <xdr:rowOff>85725</xdr:rowOff>
    </xdr:to>
    <xdr:sp macro="" textlink="">
      <xdr:nvSpPr>
        <xdr:cNvPr id="18" name="Rounded Rectangle 17"/>
        <xdr:cNvSpPr/>
      </xdr:nvSpPr>
      <xdr:spPr>
        <a:xfrm>
          <a:off x="4248151" y="2638425"/>
          <a:ext cx="3362323" cy="1638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390528</xdr:colOff>
      <xdr:row>13</xdr:row>
      <xdr:rowOff>142875</xdr:rowOff>
    </xdr:from>
    <xdr:to>
      <xdr:col>6</xdr:col>
      <xdr:colOff>571500</xdr:colOff>
      <xdr:row>22</xdr:row>
      <xdr:rowOff>66675</xdr:rowOff>
    </xdr:to>
    <xdr:sp macro="" textlink="">
      <xdr:nvSpPr>
        <xdr:cNvPr id="19" name="Rounded Rectangle 18"/>
        <xdr:cNvSpPr/>
      </xdr:nvSpPr>
      <xdr:spPr>
        <a:xfrm>
          <a:off x="1000128" y="2619375"/>
          <a:ext cx="3228972" cy="1638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361950</xdr:colOff>
      <xdr:row>13</xdr:row>
      <xdr:rowOff>76200</xdr:rowOff>
    </xdr:from>
    <xdr:to>
      <xdr:col>17</xdr:col>
      <xdr:colOff>438150</xdr:colOff>
      <xdr:row>22</xdr:row>
      <xdr:rowOff>104775</xdr:rowOff>
    </xdr:to>
    <xdr:sp macro="" textlink="">
      <xdr:nvSpPr>
        <xdr:cNvPr id="20" name="Rounded Rectangle 19"/>
        <xdr:cNvSpPr/>
      </xdr:nvSpPr>
      <xdr:spPr>
        <a:xfrm>
          <a:off x="7677150" y="2552700"/>
          <a:ext cx="3124200" cy="17430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590551</xdr:colOff>
      <xdr:row>4</xdr:row>
      <xdr:rowOff>180976</xdr:rowOff>
    </xdr:from>
    <xdr:to>
      <xdr:col>6</xdr:col>
      <xdr:colOff>428625</xdr:colOff>
      <xdr:row>12</xdr:row>
      <xdr:rowOff>57150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180975</xdr:colOff>
      <xdr:row>4</xdr:row>
      <xdr:rowOff>180975</xdr:rowOff>
    </xdr:from>
    <xdr:to>
      <xdr:col>12</xdr:col>
      <xdr:colOff>200026</xdr:colOff>
      <xdr:row>13</xdr:row>
      <xdr:rowOff>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495301</xdr:colOff>
      <xdr:row>4</xdr:row>
      <xdr:rowOff>133351</xdr:rowOff>
    </xdr:from>
    <xdr:to>
      <xdr:col>17</xdr:col>
      <xdr:colOff>314325</xdr:colOff>
      <xdr:row>12</xdr:row>
      <xdr:rowOff>171450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95250</xdr:colOff>
      <xdr:row>14</xdr:row>
      <xdr:rowOff>19050</xdr:rowOff>
    </xdr:from>
    <xdr:to>
      <xdr:col>12</xdr:col>
      <xdr:colOff>152400</xdr:colOff>
      <xdr:row>22</xdr:row>
      <xdr:rowOff>19049</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504825</xdr:colOff>
      <xdr:row>13</xdr:row>
      <xdr:rowOff>152400</xdr:rowOff>
    </xdr:from>
    <xdr:to>
      <xdr:col>6</xdr:col>
      <xdr:colOff>447675</xdr:colOff>
      <xdr:row>22</xdr:row>
      <xdr:rowOff>19050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295274</xdr:colOff>
      <xdr:row>13</xdr:row>
      <xdr:rowOff>66675</xdr:rowOff>
    </xdr:from>
    <xdr:to>
      <xdr:col>17</xdr:col>
      <xdr:colOff>133349</xdr:colOff>
      <xdr:row>21</xdr:row>
      <xdr:rowOff>38100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xdr:colOff>
      <xdr:row>4</xdr:row>
      <xdr:rowOff>142875</xdr:rowOff>
    </xdr:from>
    <xdr:to>
      <xdr:col>1</xdr:col>
      <xdr:colOff>371475</xdr:colOff>
      <xdr:row>22</xdr:row>
      <xdr:rowOff>57150</xdr:rowOff>
    </xdr:to>
    <xdr:sp macro="" textlink="">
      <xdr:nvSpPr>
        <xdr:cNvPr id="30" name="Rounded Rectangle 29"/>
        <xdr:cNvSpPr/>
      </xdr:nvSpPr>
      <xdr:spPr>
        <a:xfrm>
          <a:off x="57150" y="904875"/>
          <a:ext cx="923925" cy="3343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104774</xdr:colOff>
      <xdr:row>5</xdr:row>
      <xdr:rowOff>38101</xdr:rowOff>
    </xdr:from>
    <xdr:to>
      <xdr:col>1</xdr:col>
      <xdr:colOff>342899</xdr:colOff>
      <xdr:row>21</xdr:row>
      <xdr:rowOff>152401</xdr:rowOff>
    </xdr:to>
    <mc:AlternateContent xmlns:mc="http://schemas.openxmlformats.org/markup-compatibility/2006" xmlns:a14="http://schemas.microsoft.com/office/drawing/2010/main">
      <mc:Choice Requires="a14">
        <xdr:graphicFrame macro="">
          <xdr:nvGraphicFramePr>
            <xdr:cNvPr id="31"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774" y="990601"/>
              <a:ext cx="847725" cy="316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47625</xdr:rowOff>
    </xdr:from>
    <xdr:to>
      <xdr:col>7</xdr:col>
      <xdr:colOff>190500</xdr:colOff>
      <xdr:row>4</xdr:row>
      <xdr:rowOff>95250</xdr:rowOff>
    </xdr:to>
    <xdr:sp macro="" textlink="">
      <xdr:nvSpPr>
        <xdr:cNvPr id="3" name="Rounded Rectangle 2"/>
        <xdr:cNvSpPr/>
      </xdr:nvSpPr>
      <xdr:spPr>
        <a:xfrm>
          <a:off x="19050" y="47625"/>
          <a:ext cx="4438650" cy="8096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solidFill>
              <a:schemeClr val="tx1"/>
            </a:solidFill>
            <a:latin typeface="Algerian" panose="04020705040A02060702" pitchFamily="82" charset="0"/>
            <a:ea typeface="Calibri Light" panose="020F0302020204030204" pitchFamily="34" charset="0"/>
            <a:cs typeface="Calibri Light" panose="020F0302020204030204" pitchFamily="34" charset="0"/>
          </a:endParaRPr>
        </a:p>
        <a:p>
          <a:pPr algn="ctr"/>
          <a:r>
            <a:rPr lang="en-IN" sz="1600" b="1">
              <a:solidFill>
                <a:srgbClr val="991F28"/>
              </a:solidFill>
              <a:latin typeface="Algerian" panose="04020705040A02060702" pitchFamily="82" charset="0"/>
              <a:ea typeface="Calibri Light" panose="020F0302020204030204" pitchFamily="34" charset="0"/>
              <a:cs typeface="Calibri Light" panose="020F0302020204030204" pitchFamily="34" charset="0"/>
            </a:rPr>
            <a:t>Electric</a:t>
          </a:r>
          <a:r>
            <a:rPr lang="en-IN" sz="1600" b="1" baseline="0">
              <a:solidFill>
                <a:srgbClr val="991F28"/>
              </a:solidFill>
              <a:latin typeface="Algerian" panose="04020705040A02060702" pitchFamily="82" charset="0"/>
              <a:ea typeface="Calibri Light" panose="020F0302020204030204" pitchFamily="34" charset="0"/>
              <a:cs typeface="Calibri Light" panose="020F0302020204030204" pitchFamily="34" charset="0"/>
            </a:rPr>
            <a:t> vehicle Analytics Dashboard</a:t>
          </a:r>
          <a:endParaRPr lang="en-IN" sz="1600" b="1">
            <a:solidFill>
              <a:srgbClr val="991F28"/>
            </a:solidFill>
            <a:latin typeface="Algerian" panose="04020705040A02060702" pitchFamily="82" charset="0"/>
            <a:ea typeface="Calibri Light" panose="020F0302020204030204" pitchFamily="34" charset="0"/>
            <a:cs typeface="Calibri Light" panose="020F0302020204030204" pitchFamily="34" charset="0"/>
          </a:endParaRPr>
        </a:p>
      </xdr:txBody>
    </xdr:sp>
    <xdr:clientData/>
  </xdr:twoCellAnchor>
  <xdr:twoCellAnchor editAs="oneCell">
    <xdr:from>
      <xdr:col>11</xdr:col>
      <xdr:colOff>321179</xdr:colOff>
      <xdr:row>0</xdr:row>
      <xdr:rowOff>123825</xdr:rowOff>
    </xdr:from>
    <xdr:to>
      <xdr:col>12</xdr:col>
      <xdr:colOff>64003</xdr:colOff>
      <xdr:row>2</xdr:row>
      <xdr:rowOff>155072</xdr:rowOff>
    </xdr:to>
    <xdr:pic>
      <xdr:nvPicPr>
        <xdr:cNvPr id="33" name="Picture 32" descr="Battery PNG Images - Free Transparent Backgrounds | SimilarPNG"/>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5400000" flipH="1">
          <a:off x="6996867" y="153737"/>
          <a:ext cx="412247" cy="352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419101</xdr:colOff>
      <xdr:row>0</xdr:row>
      <xdr:rowOff>180976</xdr:rowOff>
    </xdr:from>
    <xdr:to>
      <xdr:col>14</xdr:col>
      <xdr:colOff>114301</xdr:colOff>
      <xdr:row>2</xdr:row>
      <xdr:rowOff>104776</xdr:rowOff>
    </xdr:to>
    <xdr:pic>
      <xdr:nvPicPr>
        <xdr:cNvPr id="34" name="Picture 33" descr="Battery Icon, Transparent Battery.PNG Images &amp; Vector ..."/>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43901" y="180976"/>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209551</xdr:colOff>
      <xdr:row>0</xdr:row>
      <xdr:rowOff>57150</xdr:rowOff>
    </xdr:from>
    <xdr:to>
      <xdr:col>2</xdr:col>
      <xdr:colOff>247650</xdr:colOff>
      <xdr:row>2</xdr:row>
      <xdr:rowOff>95250</xdr:rowOff>
    </xdr:to>
    <xdr:pic>
      <xdr:nvPicPr>
        <xdr:cNvPr id="37" name="Picture 36" descr="Car Icon PNG Images, Vectors Free Download - Pngtree"/>
        <xdr:cNvPicPr>
          <a:picLocks noChangeAspect="1" noChangeArrowheads="1"/>
        </xdr:cNvPicPr>
      </xdr:nvPicPr>
      <xdr:blipFill>
        <a:blip xmlns:r="http://schemas.openxmlformats.org/officeDocument/2006/relationships" r:embed="rId9"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19151" y="57150"/>
          <a:ext cx="647699"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304803</xdr:colOff>
      <xdr:row>0</xdr:row>
      <xdr:rowOff>76201</xdr:rowOff>
    </xdr:from>
    <xdr:to>
      <xdr:col>8</xdr:col>
      <xdr:colOff>57150</xdr:colOff>
      <xdr:row>2</xdr:row>
      <xdr:rowOff>30004</xdr:rowOff>
    </xdr:to>
    <xdr:pic>
      <xdr:nvPicPr>
        <xdr:cNvPr id="38" name="Picture 37" descr="Car Icon PNG Images, Vectors Free Download - Pngtree"/>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72003" y="76201"/>
          <a:ext cx="361947" cy="334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228602</xdr:colOff>
      <xdr:row>0</xdr:row>
      <xdr:rowOff>85728</xdr:rowOff>
    </xdr:from>
    <xdr:to>
      <xdr:col>9</xdr:col>
      <xdr:colOff>600076</xdr:colOff>
      <xdr:row>2</xdr:row>
      <xdr:rowOff>76199</xdr:rowOff>
    </xdr:to>
    <xdr:pic>
      <xdr:nvPicPr>
        <xdr:cNvPr id="39" name="Picture 38" descr="Insurance Shield Logo Template – Royalty-Free Vector | VectorStock"/>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359" t="23588" r="-359" b="25581"/>
        <a:stretch/>
      </xdr:blipFill>
      <xdr:spPr bwMode="auto">
        <a:xfrm>
          <a:off x="5715002" y="85728"/>
          <a:ext cx="371474" cy="371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466725</xdr:colOff>
      <xdr:row>0</xdr:row>
      <xdr:rowOff>104776</xdr:rowOff>
    </xdr:from>
    <xdr:to>
      <xdr:col>16</xdr:col>
      <xdr:colOff>179070</xdr:colOff>
      <xdr:row>2</xdr:row>
      <xdr:rowOff>95250</xdr:rowOff>
    </xdr:to>
    <xdr:pic>
      <xdr:nvPicPr>
        <xdr:cNvPr id="42" name="Picture 41" descr="Kilometer - Free industry icons"/>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20206" t="9278" r="19690" b="9794"/>
        <a:stretch/>
      </xdr:blipFill>
      <xdr:spPr bwMode="auto">
        <a:xfrm>
          <a:off x="9610725" y="104776"/>
          <a:ext cx="321945" cy="371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457200</xdr:colOff>
      <xdr:row>12</xdr:row>
      <xdr:rowOff>76200</xdr:rowOff>
    </xdr:from>
    <xdr:ext cx="1952625" cy="238125"/>
    <xdr:sp macro="" textlink="">
      <xdr:nvSpPr>
        <xdr:cNvPr id="43" name="TextBox 42"/>
        <xdr:cNvSpPr txBox="1"/>
      </xdr:nvSpPr>
      <xdr:spPr>
        <a:xfrm>
          <a:off x="1676400" y="2362200"/>
          <a:ext cx="195262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Region</a:t>
          </a:r>
          <a:r>
            <a:rPr lang="en-IN" sz="1200" b="1" baseline="0"/>
            <a:t> Wise vehicle</a:t>
          </a:r>
          <a:endParaRPr lang="en-IN" sz="1200" b="1"/>
        </a:p>
      </xdr:txBody>
    </xdr:sp>
    <xdr:clientData/>
  </xdr:oneCellAnchor>
  <xdr:oneCellAnchor>
    <xdr:from>
      <xdr:col>7</xdr:col>
      <xdr:colOff>514350</xdr:colOff>
      <xdr:row>13</xdr:row>
      <xdr:rowOff>9525</xdr:rowOff>
    </xdr:from>
    <xdr:ext cx="184731" cy="264560"/>
    <xdr:sp macro="" textlink="">
      <xdr:nvSpPr>
        <xdr:cNvPr id="44" name="TextBox 43"/>
        <xdr:cNvSpPr txBox="1"/>
      </xdr:nvSpPr>
      <xdr:spPr>
        <a:xfrm>
          <a:off x="4781550" y="2486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247649</xdr:colOff>
      <xdr:row>20</xdr:row>
      <xdr:rowOff>180976</xdr:rowOff>
    </xdr:from>
    <xdr:ext cx="2124075" cy="266700"/>
    <xdr:sp macro="" textlink="">
      <xdr:nvSpPr>
        <xdr:cNvPr id="45" name="TextBox 44"/>
        <xdr:cNvSpPr txBox="1"/>
      </xdr:nvSpPr>
      <xdr:spPr>
        <a:xfrm>
          <a:off x="8172449" y="3990976"/>
          <a:ext cx="212407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200" b="1"/>
            <a:t>Vehicle Type Distribution</a:t>
          </a:r>
        </a:p>
      </xdr:txBody>
    </xdr:sp>
    <xdr:clientData/>
  </xdr:oneCellAnchor>
  <xdr:oneCellAnchor>
    <xdr:from>
      <xdr:col>13</xdr:col>
      <xdr:colOff>361951</xdr:colOff>
      <xdr:row>11</xdr:row>
      <xdr:rowOff>152400</xdr:rowOff>
    </xdr:from>
    <xdr:ext cx="2038350" cy="295276"/>
    <xdr:sp macro="" textlink="">
      <xdr:nvSpPr>
        <xdr:cNvPr id="46" name="TextBox 45"/>
        <xdr:cNvSpPr txBox="1"/>
      </xdr:nvSpPr>
      <xdr:spPr>
        <a:xfrm>
          <a:off x="8286751" y="2247900"/>
          <a:ext cx="2038350" cy="295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Type</a:t>
          </a:r>
          <a:r>
            <a:rPr lang="en-IN" sz="1200" b="1" baseline="0"/>
            <a:t> Wise Distribution</a:t>
          </a:r>
          <a:endParaRPr lang="en-IN" sz="1200" b="1"/>
        </a:p>
      </xdr:txBody>
    </xdr:sp>
    <xdr:clientData/>
  </xdr:oneCellAnchor>
  <xdr:oneCellAnchor>
    <xdr:from>
      <xdr:col>8</xdr:col>
      <xdr:colOff>47625</xdr:colOff>
      <xdr:row>21</xdr:row>
      <xdr:rowOff>19050</xdr:rowOff>
    </xdr:from>
    <xdr:ext cx="2238375" cy="238125"/>
    <xdr:sp macro="" textlink="">
      <xdr:nvSpPr>
        <xdr:cNvPr id="47" name="TextBox 46"/>
        <xdr:cNvSpPr txBox="1"/>
      </xdr:nvSpPr>
      <xdr:spPr>
        <a:xfrm>
          <a:off x="4924425" y="4019550"/>
          <a:ext cx="22383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Make Wise Distribution</a:t>
          </a:r>
        </a:p>
      </xdr:txBody>
    </xdr:sp>
    <xdr:clientData/>
  </xdr:oneCellAnchor>
  <xdr:oneCellAnchor>
    <xdr:from>
      <xdr:col>8</xdr:col>
      <xdr:colOff>57150</xdr:colOff>
      <xdr:row>12</xdr:row>
      <xdr:rowOff>95251</xdr:rowOff>
    </xdr:from>
    <xdr:ext cx="2115772" cy="228600"/>
    <xdr:sp macro="" textlink="">
      <xdr:nvSpPr>
        <xdr:cNvPr id="50" name="TextBox 49"/>
        <xdr:cNvSpPr txBox="1"/>
      </xdr:nvSpPr>
      <xdr:spPr>
        <a:xfrm>
          <a:off x="4933950" y="2381251"/>
          <a:ext cx="2115772"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200" b="1"/>
            <a:t>Avg_Maintenance_Cost</a:t>
          </a:r>
          <a:r>
            <a:rPr lang="en-IN" sz="1200" b="1" baseline="0"/>
            <a:t> By Make</a:t>
          </a:r>
          <a:endParaRPr lang="en-IN" sz="12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0.15823</cdr:x>
      <cdr:y>0.38065</cdr:y>
    </cdr:from>
    <cdr:to>
      <cdr:x>0.46203</cdr:x>
      <cdr:y>1</cdr:y>
    </cdr:to>
    <cdr:sp macro="" textlink="">
      <cdr:nvSpPr>
        <cdr:cNvPr id="2" name="TextBox 1"/>
        <cdr:cNvSpPr txBox="1"/>
      </cdr:nvSpPr>
      <cdr:spPr>
        <a:xfrm xmlns:a="http://schemas.openxmlformats.org/drawingml/2006/main">
          <a:off x="476250" y="13811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0.12975</cdr:x>
      <cdr:y>0.86076</cdr:y>
    </cdr:from>
    <cdr:to>
      <cdr:x>0.75949</cdr:x>
      <cdr:y>0.99367</cdr:y>
    </cdr:to>
    <cdr:sp macro="" textlink="">
      <cdr:nvSpPr>
        <cdr:cNvPr id="3" name="TextBox 2"/>
        <cdr:cNvSpPr txBox="1"/>
      </cdr:nvSpPr>
      <cdr:spPr>
        <a:xfrm xmlns:a="http://schemas.openxmlformats.org/drawingml/2006/main">
          <a:off x="390524" y="1295399"/>
          <a:ext cx="1895475" cy="2000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100" b="1">
              <a:latin typeface="+mn-lt"/>
            </a:rPr>
            <a:t>Uses</a:t>
          </a:r>
          <a:r>
            <a:rPr lang="en-IN" sz="1100" b="1" baseline="0">
              <a:latin typeface="+mn-lt"/>
            </a:rPr>
            <a:t> By Distribution</a:t>
          </a:r>
          <a:endParaRPr lang="en-IN" sz="1100" b="1">
            <a:latin typeface="+mn-l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LENOVO" refreshedDate="46218.685326620369" backgroundQuery="1" createdVersion="6" refreshedVersion="6" minRefreshableVersion="3" recordCount="0" supportSubquery="1" supportAdvancedDrill="1">
  <cacheSource type="external" connectionId="2"/>
  <cacheFields count="3">
    <cacheField name="[electric_vehicle_analytics csv].[Year].[Year]" caption="Year" numFmtId="0" hierarchy="3" level="1">
      <sharedItems containsSemiMixedTypes="0" containsNonDate="0" containsString="0"/>
    </cacheField>
    <cacheField name="[electric_vehicle_analytics csv].[Region].[Region]" caption="Region" numFmtId="0" hierarchy="4" level="1">
      <sharedItems count="4">
        <s v="Asia"/>
        <s v="Australia"/>
        <s v="Europe"/>
        <s v="North America"/>
      </sharedItems>
    </cacheField>
    <cacheField name="[Measures].[Count of Vehicle_ID]" caption="Count of Vehicle_ID" numFmtId="0" hierarchy="33" level="32767"/>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0"/>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2" memberValueDatatype="130" unbalanced="0">
      <fieldsUsage count="2">
        <fieldUsage x="-1"/>
        <fieldUsage x="1"/>
      </fieldsUsage>
    </cacheHierarchy>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LENOVO" refreshedDate="46218.685326851853" backgroundQuery="1" createdVersion="6" refreshedVersion="6" minRefreshableVersion="3" recordCount="0" supportSubquery="1" supportAdvancedDrill="1">
  <cacheSource type="external" connectionId="2"/>
  <cacheFields count="2">
    <cacheField name="[Measures].[Total Vehicle]" caption="Total Vehicle" numFmtId="0" hierarchy="25"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1"/>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oneField="1">
      <fieldsUsage count="1">
        <fieldUsage x="0"/>
      </fieldsUsage>
    </cacheHierarchy>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LENOVO" refreshedDate="46218.685327314815" backgroundQuery="1" createdVersion="6" refreshedVersion="6" minRefreshableVersion="3" recordCount="0" supportSubquery="1" supportAdvancedDrill="1">
  <cacheSource type="external" connectionId="2"/>
  <cacheFields count="3">
    <cacheField name="[electric_vehicle_analytics csv].[Make].[Make]" caption="Make" numFmtId="0" hierarchy="1" level="1">
      <sharedItems count="10">
        <s v="Audi"/>
        <s v="BMW"/>
        <s v="Chevrolet"/>
        <s v="Ford"/>
        <s v="Hyundai"/>
        <s v="Kia"/>
        <s v="Mercedes"/>
        <s v="Nissan"/>
        <s v="Tesla"/>
        <s v="Volkswagen"/>
      </sharedItems>
    </cacheField>
    <cacheField name="[Measures].[Average of Maintenance_Cost_USD]" caption="Average of Maintenance_Cost_USD" numFmtId="0" hierarchy="47"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2" memberValueDatatype="130" unbalanced="0">
      <fieldsUsage count="2">
        <fieldUsage x="-1"/>
        <fieldUsage x="0"/>
      </fieldsUsage>
    </cacheHierarchy>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2"/>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LENOVO" refreshedDate="46218.685327777777" backgroundQuery="1" createdVersion="6" refreshedVersion="6" minRefreshableVersion="3" recordCount="0" supportSubquery="1" supportAdvancedDrill="1">
  <cacheSource type="external" connectionId="2"/>
  <cacheFields count="3">
    <cacheField name="[electric_vehicle_analytics csv].[Usage_Type].[Usage_Type]" caption="Usage_Type" numFmtId="0" hierarchy="18" level="1">
      <sharedItems count="3">
        <s v="Commercial"/>
        <s v="Fleet"/>
        <s v="Personal"/>
      </sharedItems>
    </cacheField>
    <cacheField name="[Measures].[Count of Vehicle_Type]" caption="Count of Vehicle_Type" numFmtId="0" hierarchy="38"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2"/>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2" memberValueDatatype="130" unbalanced="0">
      <fieldsUsage count="2">
        <fieldUsage x="-1"/>
        <fieldUsage x="0"/>
      </fieldsUsage>
    </cacheHierarchy>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LENOVO" refreshedDate="46218.685328009262" backgroundQuery="1" createdVersion="6" refreshedVersion="6" minRefreshableVersion="3" recordCount="0" supportSubquery="1" supportAdvancedDrill="1">
  <cacheSource type="external" connectionId="2"/>
  <cacheFields count="3">
    <cacheField name="[electric_vehicle_analytics csv].[Make].[Make]" caption="Make" numFmtId="0" hierarchy="1" level="1">
      <sharedItems count="10">
        <s v="Audi"/>
        <s v="BMW"/>
        <s v="Chevrolet"/>
        <s v="Ford"/>
        <s v="Hyundai"/>
        <s v="Kia"/>
        <s v="Mercedes"/>
        <s v="Nissan"/>
        <s v="Tesla"/>
        <s v="Volkswagen"/>
      </sharedItems>
    </cacheField>
    <cacheField name="[Measures].[Count of Vehicle_ID]" caption="Count of Vehicle_ID" numFmtId="0" hierarchy="33"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2" memberValueDatatype="130" unbalanced="0">
      <fieldsUsage count="2">
        <fieldUsage x="-1"/>
        <fieldUsage x="0"/>
      </fieldsUsage>
    </cacheHierarchy>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2"/>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LENOVO" refreshedDate="46218.685328472224" backgroundQuery="1" createdVersion="6" refreshedVersion="6" minRefreshableVersion="3" recordCount="0" supportSubquery="1" supportAdvancedDrill="1">
  <cacheSource type="external" connectionId="2"/>
  <cacheFields count="3">
    <cacheField name="[electric_vehicle_analytics csv].[Vehicle_Type].[Vehicle_Type]" caption="Vehicle_Type" numFmtId="0" hierarchy="5" level="1">
      <sharedItems count="4">
        <s v="Hatchback"/>
        <s v="Sedan"/>
        <s v="SUV"/>
        <s v="Truck"/>
      </sharedItems>
    </cacheField>
    <cacheField name="[Measures].[Count of Vehicle_ID]" caption="Count of Vehicle_ID" numFmtId="0" hierarchy="33"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2"/>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2" memberValueDatatype="130" unbalanced="0">
      <fieldsUsage count="2">
        <fieldUsage x="-1"/>
        <fieldUsage x="0"/>
      </fieldsUsage>
    </cacheHierarchy>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LENOVO" refreshedDate="46218.685328472224" backgroundQuery="1" createdVersion="6" refreshedVersion="6" minRefreshableVersion="3" recordCount="0" supportSubquery="1" supportAdvancedDrill="1">
  <cacheSource type="external" connectionId="2"/>
  <cacheFields count="2">
    <cacheField name="[Measures].[Insurence Cost]" caption="Insurence Cost" numFmtId="0" hierarchy="26"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1"/>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oneField="1">
      <fieldsUsage count="1">
        <fieldUsage x="0"/>
      </fieldsUsage>
    </cacheHierarchy>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LENOVO" refreshedDate="46218.685328819447" backgroundQuery="1" createdVersion="6" refreshedVersion="6" minRefreshableVersion="3" recordCount="0" supportSubquery="1" supportAdvancedDrill="1">
  <cacheSource type="external" connectionId="2"/>
  <cacheFields count="2">
    <cacheField name="[Measures].[Avg_Range_KM]" caption="Avg_Range_KM" numFmtId="0" hierarchy="27"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1"/>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oneField="1">
      <fieldsUsage count="1">
        <fieldUsage x="0"/>
      </fieldsUsage>
    </cacheHierarchy>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LENOVO" refreshedDate="46218.68532916667" backgroundQuery="1" createdVersion="6" refreshedVersion="6" minRefreshableVersion="3" recordCount="0" supportSubquery="1" supportAdvancedDrill="1">
  <cacheSource type="external" connectionId="2"/>
  <cacheFields count="2">
    <cacheField name="[Measures].[Battery_Health]" caption="Battery_Health" numFmtId="0" hierarchy="28"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1"/>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oneField="1">
      <fieldsUsage count="1">
        <fieldUsage x="0"/>
      </fieldsUsage>
    </cacheHierarchy>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LENOVO" refreshedDate="46218.685329282409" backgroundQuery="1" createdVersion="6" refreshedVersion="6" minRefreshableVersion="3" recordCount="0" supportSubquery="1" supportAdvancedDrill="1">
  <cacheSource type="external" connectionId="2"/>
  <cacheFields count="2">
    <cacheField name="[Measures].[Charging Cost]" caption="Charging Cost" numFmtId="0" hierarchy="29" level="32767"/>
    <cacheField name="[electric_vehicle_analytics csv].[Year].[Year]" caption="Year" numFmtId="0" hierarchy="3" level="1">
      <sharedItems containsSemiMixedTypes="0" containsNonDate="0" containsString="0"/>
    </cacheField>
  </cacheFields>
  <cacheHierarchies count="50">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fieldsUsage count="2">
        <fieldUsage x="-1"/>
        <fieldUsage x="1"/>
      </fieldsUsage>
    </cacheHierarchy>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oneField="1">
      <fieldsUsage count="1">
        <fieldUsage x="0"/>
      </fieldsUsage>
    </cacheHierarchy>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Average of Maintenance_Cost_USD]" caption="Average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Average of Year]" caption="Average of Year" measure="1" displayFolder="" measureGroup="electric_vehicle_analytics csv" count="0" hidden="1">
      <extLst>
        <ext xmlns:x15="http://schemas.microsoft.com/office/spreadsheetml/2010/11/main" uri="{B97F6D7D-B522-45F9-BDA1-12C45D357490}">
          <x15:cacheHierarchy aggregatedColumn="3"/>
        </ext>
      </extLst>
    </cacheHierarchy>
  </cacheHierarchies>
  <kpis count="0"/>
  <dimensions count="2">
    <dimension name="electric_vehicle_analytics csv" uniqueName="[electric_vehicle_analytics csv]" caption="electric_vehicle_analytics csv"/>
    <dimension measure="1" name="Measures" uniqueName="[Measures]" caption="Measures"/>
  </dimensions>
  <measureGroups count="1">
    <measureGroup name="electric_vehicle_analytics csv" caption="electric_vehicle_analytics csv"/>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LENOVO" refreshedDate="46216.685534606484"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electric_vehicle_analytics csv].[Vehicle_ID]" caption="Vehicle_ID" attribute="1" defaultMemberUniqueName="[electric_vehicle_analytics csv].[Vehicle_ID].[All]" allUniqueName="[electric_vehicle_analytics csv].[Vehicle_ID].[All]" dimensionUniqueName="[electric_vehicle_analytics csv]" displayFolder="" count="0" memberValueDatatype="20" unbalanced="0"/>
    <cacheHierarchy uniqueName="[electric_vehicle_analytics csv].[Make]" caption="Make" attribute="1" defaultMemberUniqueName="[electric_vehicle_analytics csv].[Make].[All]" allUniqueName="[electric_vehicle_analytics csv].[Make].[All]" dimensionUniqueName="[electric_vehicle_analytics csv]" displayFolder="" count="0" memberValueDatatype="130" unbalanced="0"/>
    <cacheHierarchy uniqueName="[electric_vehicle_analytics csv].[Model]" caption="Model" attribute="1" defaultMemberUniqueName="[electric_vehicle_analytics csv].[Model].[All]" allUniqueName="[electric_vehicle_analytics csv].[Model].[All]" dimensionUniqueName="[electric_vehicle_analytics csv]" displayFolder="" count="0" memberValueDatatype="130" unbalanced="0"/>
    <cacheHierarchy uniqueName="[electric_vehicle_analytics csv].[Year]" caption="Year" attribute="1" defaultMemberUniqueName="[electric_vehicle_analytics csv].[Year].[All]" allUniqueName="[electric_vehicle_analytics csv].[Year].[All]" dimensionUniqueName="[electric_vehicle_analytics csv]" displayFolder="" count="2" memberValueDatatype="20" unbalanced="0"/>
    <cacheHierarchy uniqueName="[electric_vehicle_analytics csv].[Region]" caption="Region" attribute="1" defaultMemberUniqueName="[electric_vehicle_analytics csv].[Region].[All]" allUniqueName="[electric_vehicle_analytics csv].[Region].[All]" dimensionUniqueName="[electric_vehicle_analytics csv]" displayFolder="" count="0" memberValueDatatype="130" unbalanced="0"/>
    <cacheHierarchy uniqueName="[electric_vehicle_analytics csv].[Vehicle_Type]" caption="Vehicle_Type" attribute="1" defaultMemberUniqueName="[electric_vehicle_analytics csv].[Vehicle_Type].[All]" allUniqueName="[electric_vehicle_analytics csv].[Vehicle_Type].[All]" dimensionUniqueName="[electric_vehicle_analytics csv]" displayFolder="" count="0" memberValueDatatype="130" unbalanced="0"/>
    <cacheHierarchy uniqueName="[electric_vehicle_analytics csv].[Battery_Capacity_kWh]" caption="Battery_Capacity_kWh" attribute="1" defaultMemberUniqueName="[electric_vehicle_analytics csv].[Battery_Capacity_kWh].[All]" allUniqueName="[electric_vehicle_analytics csv].[Battery_Capacity_kWh].[All]" dimensionUniqueName="[electric_vehicle_analytics csv]" displayFolder="" count="0" memberValueDatatype="5" unbalanced="0"/>
    <cacheHierarchy uniqueName="[electric_vehicle_analytics csv].[Battery_Health_%]" caption="Battery_Health_%" attribute="1" defaultMemberUniqueName="[electric_vehicle_analytics csv].[Battery_Health_%].[All]" allUniqueName="[electric_vehicle_analytics csv].[Battery_Health_%].[All]" dimensionUniqueName="[electric_vehicle_analytics csv]" displayFolder="" count="0" memberValueDatatype="5" unbalanced="0"/>
    <cacheHierarchy uniqueName="[electric_vehicle_analytics csv].[Range_km]" caption="Range_km" attribute="1" defaultMemberUniqueName="[electric_vehicle_analytics csv].[Range_km].[All]" allUniqueName="[electric_vehicle_analytics csv].[Range_km].[All]" dimensionUniqueName="[electric_vehicle_analytics csv]" displayFolder="" count="0" memberValueDatatype="20" unbalanced="0"/>
    <cacheHierarchy uniqueName="[electric_vehicle_analytics csv].[Charging_Power_kW]" caption="Charging_Power_kW" attribute="1" defaultMemberUniqueName="[electric_vehicle_analytics csv].[Charging_Power_kW].[All]" allUniqueName="[electric_vehicle_analytics csv].[Charging_Power_kW].[All]" dimensionUniqueName="[electric_vehicle_analytics csv]" displayFolder="" count="0" memberValueDatatype="5" unbalanced="0"/>
    <cacheHierarchy uniqueName="[electric_vehicle_analytics csv].[Charging_Time_hr]" caption="Charging_Time_hr" attribute="1" defaultMemberUniqueName="[electric_vehicle_analytics csv].[Charging_Time_hr].[All]" allUniqueName="[electric_vehicle_analytics csv].[Charging_Time_hr].[All]" dimensionUniqueName="[electric_vehicle_analytics csv]" displayFolder="" count="0" memberValueDatatype="5" unbalanced="0"/>
    <cacheHierarchy uniqueName="[electric_vehicle_analytics csv].[Charge_Cycles]" caption="Charge_Cycles" attribute="1" defaultMemberUniqueName="[electric_vehicle_analytics csv].[Charge_Cycles].[All]" allUniqueName="[electric_vehicle_analytics csv].[Charge_Cycles].[All]" dimensionUniqueName="[electric_vehicle_analytics csv]" displayFolder="" count="0" memberValueDatatype="20" unbalanced="0"/>
    <cacheHierarchy uniqueName="[electric_vehicle_analytics csv].[Energy_Consumption_kWh_per_100km]" caption="Energy_Consumption_kWh_per_100km" attribute="1" defaultMemberUniqueName="[electric_vehicle_analytics csv].[Energy_Consumption_kWh_per_100km].[All]" allUniqueName="[electric_vehicle_analytics csv].[Energy_Consumption_kWh_per_100km].[All]" dimensionUniqueName="[electric_vehicle_analytics csv]" displayFolder="" count="0" memberValueDatatype="5" unbalanced="0"/>
    <cacheHierarchy uniqueName="[electric_vehicle_analytics csv].[Mileage_km]" caption="Mileage_km" attribute="1" defaultMemberUniqueName="[electric_vehicle_analytics csv].[Mileage_km].[All]" allUniqueName="[electric_vehicle_analytics csv].[Mileage_km].[All]" dimensionUniqueName="[electric_vehicle_analytics csv]" displayFolder="" count="0" memberValueDatatype="20" unbalanced="0"/>
    <cacheHierarchy uniqueName="[electric_vehicle_analytics csv].[Avg_Speed_kmh]" caption="Avg_Speed_kmh" attribute="1" defaultMemberUniqueName="[electric_vehicle_analytics csv].[Avg_Speed_kmh].[All]" allUniqueName="[electric_vehicle_analytics csv].[Avg_Speed_kmh].[All]" dimensionUniqueName="[electric_vehicle_analytics csv]" displayFolder="" count="0" memberValueDatatype="5" unbalanced="0"/>
    <cacheHierarchy uniqueName="[electric_vehicle_analytics csv].[Max_Speed_kmh]" caption="Max_Speed_kmh" attribute="1" defaultMemberUniqueName="[electric_vehicle_analytics csv].[Max_Speed_kmh].[All]" allUniqueName="[electric_vehicle_analytics csv].[Max_Speed_kmh].[All]" dimensionUniqueName="[electric_vehicle_analytics csv]" displayFolder="" count="0" memberValueDatatype="20" unbalanced="0"/>
    <cacheHierarchy uniqueName="[electric_vehicle_analytics csv].[Acceleration_0_100_kmh_sec]" caption="Acceleration_0_100_kmh_sec" attribute="1" defaultMemberUniqueName="[electric_vehicle_analytics csv].[Acceleration_0_100_kmh_sec].[All]" allUniqueName="[electric_vehicle_analytics csv].[Acceleration_0_100_kmh_sec].[All]" dimensionUniqueName="[electric_vehicle_analytics csv]" displayFolder="" count="0" memberValueDatatype="5" unbalanced="0"/>
    <cacheHierarchy uniqueName="[electric_vehicle_analytics csv].[Temperature_C]" caption="Temperature_C" attribute="1" defaultMemberUniqueName="[electric_vehicle_analytics csv].[Temperature_C].[All]" allUniqueName="[electric_vehicle_analytics csv].[Temperature_C].[All]" dimensionUniqueName="[electric_vehicle_analytics csv]" displayFolder="" count="0" memberValueDatatype="5" unbalanced="0"/>
    <cacheHierarchy uniqueName="[electric_vehicle_analytics csv].[Usage_Type]" caption="Usage_Type" attribute="1" defaultMemberUniqueName="[electric_vehicle_analytics csv].[Usage_Type].[All]" allUniqueName="[electric_vehicle_analytics csv].[Usage_Type].[All]" dimensionUniqueName="[electric_vehicle_analytics csv]" displayFolder="" count="0" memberValueDatatype="130" unbalanced="0"/>
    <cacheHierarchy uniqueName="[electric_vehicle_analytics csv].[CO2_Saved_tons]" caption="CO2_Saved_tons" attribute="1" defaultMemberUniqueName="[electric_vehicle_analytics csv].[CO2_Saved_tons].[All]" allUniqueName="[electric_vehicle_analytics csv].[CO2_Saved_tons].[All]" dimensionUniqueName="[electric_vehicle_analytics csv]" displayFolder="" count="0" memberValueDatatype="5" unbalanced="0"/>
    <cacheHierarchy uniqueName="[electric_vehicle_analytics csv].[Maintenance_Cost_USD]" caption="Maintenance_Cost_USD" attribute="1" defaultMemberUniqueName="[electric_vehicle_analytics csv].[Maintenance_Cost_USD].[All]" allUniqueName="[electric_vehicle_analytics csv].[Maintenance_Cost_USD].[All]" dimensionUniqueName="[electric_vehicle_analytics csv]" displayFolder="" count="0" memberValueDatatype="20" unbalanced="0"/>
    <cacheHierarchy uniqueName="[electric_vehicle_analytics csv].[Insurance_Cost_USD]" caption="Insurance_Cost_USD" attribute="1" defaultMemberUniqueName="[electric_vehicle_analytics csv].[Insurance_Cost_USD].[All]" allUniqueName="[electric_vehicle_analytics csv].[Insurance_Cost_USD].[All]" dimensionUniqueName="[electric_vehicle_analytics csv]" displayFolder="" count="0" memberValueDatatype="20" unbalanced="0"/>
    <cacheHierarchy uniqueName="[electric_vehicle_analytics csv].[Electricity_Cost_USD_per_kWh]" caption="Electricity_Cost_USD_per_kWh" attribute="1" defaultMemberUniqueName="[electric_vehicle_analytics csv].[Electricity_Cost_USD_per_kWh].[All]" allUniqueName="[electric_vehicle_analytics csv].[Electricity_Cost_USD_per_kWh].[All]" dimensionUniqueName="[electric_vehicle_analytics csv]" displayFolder="" count="0" memberValueDatatype="5" unbalanced="0"/>
    <cacheHierarchy uniqueName="[electric_vehicle_analytics csv].[Monthly_Charging_Cost_USD]" caption="Monthly_Charging_Cost_USD" attribute="1" defaultMemberUniqueName="[electric_vehicle_analytics csv].[Monthly_Charging_Cost_USD].[All]" allUniqueName="[electric_vehicle_analytics csv].[Monthly_Charging_Cost_USD].[All]" dimensionUniqueName="[electric_vehicle_analytics csv]" displayFolder="" count="0" memberValueDatatype="5" unbalanced="0"/>
    <cacheHierarchy uniqueName="[electric_vehicle_analytics csv].[Resale_Value_USD]" caption="Resale_Value_USD" attribute="1" defaultMemberUniqueName="[electric_vehicle_analytics csv].[Resale_Value_USD].[All]" allUniqueName="[electric_vehicle_analytics csv].[Resale_Value_USD].[All]" dimensionUniqueName="[electric_vehicle_analytics csv]" displayFolder="" count="0" memberValueDatatype="20" unbalanced="0"/>
    <cacheHierarchy uniqueName="[Measures].[Total Vehicle]" caption="Total Vehicle" measure="1" displayFolder="" measureGroup="electric_vehicle_analytics csv" count="0"/>
    <cacheHierarchy uniqueName="[Measures].[Insurence Cost]" caption="Insurence Cost" measure="1" displayFolder="" measureGroup="electric_vehicle_analytics csv" count="0"/>
    <cacheHierarchy uniqueName="[Measures].[Avg_Range_KM]" caption="Avg_Range_KM" measure="1" displayFolder="" measureGroup="electric_vehicle_analytics csv" count="0"/>
    <cacheHierarchy uniqueName="[Measures].[Battery_Health]" caption="Battery_Health" measure="1" displayFolder="" measureGroup="electric_vehicle_analytics csv" count="0"/>
    <cacheHierarchy uniqueName="[Measures].[Charging Cost]" caption="Charging Cost" measure="1" displayFolder="" measureGroup="electric_vehicle_analytics csv" count="0"/>
    <cacheHierarchy uniqueName="[Measures].[__XL_Count electric_vehicle_analytics csv]" caption="__XL_Count electric_vehicle_analytics csv" measure="1" displayFolder="" measureGroup="electric_vehicle_analytics csv" count="0" hidden="1"/>
    <cacheHierarchy uniqueName="[Measures].[__No measures defined]" caption="__No measures defined" measure="1" displayFolder="" count="0" hidden="1"/>
    <cacheHierarchy uniqueName="[Measures].[Sum of Vehicle_ID]" caption="Sum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_analytics csv"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_analytics csv" count="0" hidden="1">
      <extLst>
        <ext xmlns:x15="http://schemas.microsoft.com/office/spreadsheetml/2010/11/main" uri="{B97F6D7D-B522-45F9-BDA1-12C45D357490}">
          <x15:cacheHierarchy aggregatedColumn="3"/>
        </ext>
      </extLst>
    </cacheHierarchy>
    <cacheHierarchy uniqueName="[Measures].[Sum of Resale_Value_USD]" caption="Sum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Average of Resale_Value_USD]" caption="Average of Resale_Value_USD" measure="1" displayFolder="" measureGroup="electric_vehicle_analytics csv"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electric_vehicle_analytics csv" count="0" hidden="1">
      <extLst>
        <ext xmlns:x15="http://schemas.microsoft.com/office/spreadsheetml/2010/11/main" uri="{B97F6D7D-B522-45F9-BDA1-12C45D357490}">
          <x15:cacheHierarchy aggregatedColumn="4"/>
        </ext>
      </extLst>
    </cacheHierarchy>
    <cacheHierarchy uniqueName="[Measures].[Count of Vehicle_Type]" caption="Count of Vehicle_Type" measure="1" displayFolder="" measureGroup="electric_vehicle_analytics csv" count="0" hidden="1">
      <extLst>
        <ext xmlns:x15="http://schemas.microsoft.com/office/spreadsheetml/2010/11/main" uri="{B97F6D7D-B522-45F9-BDA1-12C45D357490}">
          <x15:cacheHierarchy aggregatedColumn="5"/>
        </ext>
      </extLst>
    </cacheHierarchy>
    <cacheHierarchy uniqueName="[Measures].[Count of Make]" caption="Count of Make" measure="1" displayFolder="" measureGroup="electric_vehicle_analytics csv" count="0" hidden="1">
      <extLst>
        <ext xmlns:x15="http://schemas.microsoft.com/office/spreadsheetml/2010/11/main" uri="{B97F6D7D-B522-45F9-BDA1-12C45D357490}">
          <x15:cacheHierarchy aggregatedColumn="1"/>
        </ext>
      </extLst>
    </cacheHierarchy>
    <cacheHierarchy uniqueName="[Measures].[Sum of Range_km]" caption="Sum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Count of Range_km]" caption="Count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Average of Range_km]" caption="Average of Range_km" measure="1" displayFolder="" measureGroup="electric_vehicle_analytics csv" count="0" hidden="1">
      <extLst>
        <ext xmlns:x15="http://schemas.microsoft.com/office/spreadsheetml/2010/11/main" uri="{B97F6D7D-B522-45F9-BDA1-12C45D357490}">
          <x15:cacheHierarchy aggregatedColumn="8"/>
        </ext>
      </extLst>
    </cacheHierarchy>
    <cacheHierarchy uniqueName="[Measures].[Sum of Temperature_C]" caption="Sum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y uniqueName="[Measures].[Sum of Maintenance_Cost_USD]" caption="Sum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Count of Maintenance_Cost_USD]" caption="Count of Maintenance_Cost_USD" measure="1" displayFolder="" measureGroup="electric_vehicle_analytics csv" count="0" hidden="1">
      <extLst>
        <ext xmlns:x15="http://schemas.microsoft.com/office/spreadsheetml/2010/11/main" uri="{B97F6D7D-B522-45F9-BDA1-12C45D357490}">
          <x15:cacheHierarchy aggregatedColumn="20"/>
        </ext>
      </extLst>
    </cacheHierarchy>
    <cacheHierarchy uniqueName="[Measures].[Average of Temperature_C]" caption="Average of Temperature_C" measure="1" displayFolder="" measureGroup="electric_vehicle_analytics csv"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2" cacheId="3" applyNumberFormats="0" applyBorderFormats="0" applyFontFormats="0" applyPatternFormats="0" applyAlignmentFormats="0" applyWidthHeightFormats="1" dataCaption="Values" tag="ed1e4f34-20a3-4e3a-a0e0-477cd242a4e4" updatedVersion="6" minRefreshableVersion="3" useAutoFormatting="1" subtotalHiddenItems="1" itemPrintTitles="1" createdVersion="6" indent="0" outline="1" outlineData="1" multipleFieldFilters="0" chartFormat="3">
  <location ref="G7:H11"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Vehicle_Type" fld="1" subtotal="count" baseField="0" baseItem="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tag="ce72e1a8-9e16-4018-9d03-f0139e10060b" updatedVersion="6" minRefreshableVersion="3" useAutoFormatting="1" subtotalHiddenItems="1" itemPrintTitles="1" createdVersion="6" indent="0" outline="1" outlineData="1" multipleFieldFilters="0" chartFormat="4">
  <location ref="A6:B11" firstHeaderRow="1" firstDataRow="1" firstDataCol="1"/>
  <pivotFields count="3">
    <pivotField allDrilled="1" showAll="0" dataSourceSort="1" defaultAttributeDrillState="1"/>
    <pivotField axis="axisRow" allDrilled="1" showAll="0" dataSourceSort="1" defaultAttributeDrillState="1">
      <items count="5">
        <item x="0"/>
        <item x="1"/>
        <item x="2"/>
        <item x="3"/>
        <item t="default"/>
      </items>
    </pivotField>
    <pivotField dataField="1" showAll="0"/>
  </pivotFields>
  <rowFields count="1">
    <field x="1"/>
  </rowFields>
  <rowItems count="5">
    <i>
      <x/>
    </i>
    <i>
      <x v="1"/>
    </i>
    <i>
      <x v="2"/>
    </i>
    <i>
      <x v="3"/>
    </i>
    <i t="grand">
      <x/>
    </i>
  </rowItems>
  <colItems count="1">
    <i/>
  </colItems>
  <dataFields count="1">
    <dataField name="Count of Vehicle_ID" fld="2" subtotal="count" baseField="1" baseItem="0"/>
  </dataFields>
  <chartFormats count="1">
    <chartFormat chart="2" format="7"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3.xml><?xml version="1.0" encoding="utf-8"?>
<pivotTableDefinition xmlns="http://schemas.openxmlformats.org/spreadsheetml/2006/main" name="PivotTable6" cacheId="7" applyNumberFormats="0" applyBorderFormats="0" applyFontFormats="0" applyPatternFormats="0" applyAlignmentFormats="0" applyWidthHeightFormats="1" dataCaption="Values" tag="19fd9200-7862-42f3-a07b-b83af54f4a18" updatedVersion="6" minRefreshableVersion="3" useAutoFormatting="1" subtotalHiddenItems="1" itemPrintTitles="1" createdVersion="6" indent="0" outline="1" outlineData="1" multipleFieldFilters="0">
  <location ref="F3:F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2"/>
  </dataFields>
  <formats count="5">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tag="8c2a1dcf-194e-4ab0-8936-0f97adc8ef93" updatedVersion="6" minRefreshableVersion="3" useAutoFormatting="1" subtotalHiddenItems="1" itemPrintTitles="1" createdVersion="6" indent="0" outline="1" outlineData="1" multipleFieldFilters="0">
  <location ref="D3:D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2"/>
  </dataFields>
  <formats count="4">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5.xml><?xml version="1.0" encoding="utf-8"?>
<pivotTableDefinition xmlns="http://schemas.openxmlformats.org/spreadsheetml/2006/main" name="PivotTable10" cacheId="2" applyNumberFormats="0" applyBorderFormats="0" applyFontFormats="0" applyPatternFormats="0" applyAlignmentFormats="0" applyWidthHeightFormats="1" dataCaption="Values" tag="ede79376-70e8-405f-be6a-23b689c5e013" updatedVersion="6" minRefreshableVersion="3" useAutoFormatting="1" subtotalHiddenItems="1" itemPrintTitles="1" createdVersion="6" indent="0" outline="1" outlineData="1" multipleFieldFilters="0" chartFormat="4">
  <location ref="D6:E17"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Average of Maintenance_Cost_USD" fld="1" subtotal="average" baseField="0" baseItem="0"/>
  </dataFields>
  <formats count="6">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9"/>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6.xml><?xml version="1.0" encoding="utf-8"?>
<pivotTableDefinition xmlns="http://schemas.openxmlformats.org/spreadsheetml/2006/main" name="PivotTable7" cacheId="8" applyNumberFormats="0" applyBorderFormats="0" applyFontFormats="0" applyPatternFormats="0" applyAlignmentFormats="0" applyWidthHeightFormats="1" dataCaption="Values" tag="f6171203-fd82-4767-8aca-e24f94e20923" updatedVersion="6" minRefreshableVersion="3" useAutoFormatting="1" subtotalHiddenItems="1" itemPrintTitles="1" createdVersion="6" indent="0" outline="1" outlineData="1" multipleFieldFilters="0">
  <location ref="H3:H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7.xml><?xml version="1.0" encoding="utf-8"?>
<pivotTableDefinition xmlns="http://schemas.openxmlformats.org/spreadsheetml/2006/main" name="PivotTable15" cacheId="5" applyNumberFormats="0" applyBorderFormats="0" applyFontFormats="0" applyPatternFormats="0" applyAlignmentFormats="0" applyWidthHeightFormats="1" dataCaption="Values" tag="542ddf4a-6c06-49f4-9591-a582df0976c7" updatedVersion="6" minRefreshableVersion="3" useAutoFormatting="1" subtotalHiddenItems="1" itemPrintTitles="1" createdVersion="6" indent="0" outline="1" outlineData="1" multipleFieldFilters="0" chartFormat="6">
  <location ref="D19:E24"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Count of Vehicle_ID" fld="1" subtotal="count" baseField="0" baseItem="0"/>
  </dataFields>
  <chartFormats count="11">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tag="75b6a1b4-4174-415a-b311-cd955789e4ca" updatedVersion="6" minRefreshableVersion="3" useAutoFormatting="1" subtotalHiddenItems="1" itemPrintTitles="1" createdVersion="6" indent="0" outline="1" outlineData="1" multipleFieldFilters="0">
  <location ref="B3:B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9.xml><?xml version="1.0" encoding="utf-8"?>
<pivotTableDefinition xmlns="http://schemas.openxmlformats.org/spreadsheetml/2006/main" name="PivotTable8" cacheId="9" applyNumberFormats="0" applyBorderFormats="0" applyFontFormats="0" applyPatternFormats="0" applyAlignmentFormats="0" applyWidthHeightFormats="1" dataCaption="Values" tag="c6e22dc5-d551-4570-a766-3eca08829ed1" updatedVersion="6" minRefreshableVersion="3" useAutoFormatting="1" subtotalHiddenItems="1" itemPrintTitles="1" createdVersion="6" indent="0" outline="1" outlineData="1" multipleFieldFilters="0">
  <location ref="J3:J4"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2"/>
  </dataFields>
  <formats count="5">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pivotTables/pivotTable10.xml><?xml version="1.0" encoding="utf-8"?>
<pivotTableDefinition xmlns="http://schemas.openxmlformats.org/spreadsheetml/2006/main" name="PivotTable13" cacheId="4" applyNumberFormats="0" applyBorderFormats="0" applyFontFormats="0" applyPatternFormats="0" applyAlignmentFormats="0" applyWidthHeightFormats="1" dataCaption="Values" tag="58549117-cf5a-4743-9dd1-01fe45d50d49" updatedVersion="6" minRefreshableVersion="3" useAutoFormatting="1" subtotalHiddenItems="1" itemPrintTitles="1" createdVersion="6" indent="0" outline="1" outlineData="1" multipleFieldFilters="0" chartFormat="3">
  <location ref="A13:B24"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_analytics csv]"/>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electric_vehicle_analytics csv].[Year]">
  <pivotTables>
    <pivotTable tabId="1" name="PivotTable9"/>
    <pivotTable tabId="1" name="PivotTable1"/>
    <pivotTable tabId="1" name="PivotTable10"/>
    <pivotTable tabId="1" name="PivotTable12"/>
    <pivotTable tabId="1" name="PivotTable13"/>
    <pivotTable tabId="1" name="PivotTable15"/>
    <pivotTable tabId="1" name="PivotTable5"/>
    <pivotTable tabId="1" name="PivotTable6"/>
    <pivotTable tabId="1" name="PivotTable7"/>
    <pivotTable tabId="1" name="PivotTable8"/>
  </pivotTables>
  <data>
    <olap pivotCacheId="1">
      <levels count="2">
        <level uniqueName="[electric_vehicle_analytics csv].[Year].[(All)]" sourceCaption="(All)" count="0"/>
        <level uniqueName="[electric_vehicle_analytics csv].[Year].[Year]" sourceCaption="Year" count="10">
          <ranges>
            <range startItem="0">
              <i n="[electric_vehicle_analytics csv].[Year].&amp;[2015]" c="2015"/>
              <i n="[electric_vehicle_analytics csv].[Year].&amp;[2016]" c="2016"/>
              <i n="[electric_vehicle_analytics csv].[Year].&amp;[2017]" c="2017"/>
              <i n="[electric_vehicle_analytics csv].[Year].&amp;[2018]" c="2018"/>
              <i n="[electric_vehicle_analytics csv].[Year].&amp;[2019]" c="2019"/>
              <i n="[electric_vehicle_analytics csv].[Year].&amp;[2020]" c="2020"/>
              <i n="[electric_vehicle_analytics csv].[Year].&amp;[2021]" c="2021"/>
              <i n="[electric_vehicle_analytics csv].[Year].&amp;[2022]" c="2022"/>
              <i n="[electric_vehicle_analytics csv].[Year].&amp;[2023]" c="2023"/>
              <i n="[electric_vehicle_analytics csv].[Year].&amp;[2024]" c="2024"/>
            </range>
          </ranges>
        </level>
      </levels>
      <selections count="1">
        <selection n="[electric_vehicle_analytics csv].[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howCaption="0"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4"/>
  <sheetViews>
    <sheetView workbookViewId="0">
      <selection activeCell="H16" sqref="H16"/>
    </sheetView>
  </sheetViews>
  <sheetFormatPr defaultRowHeight="15" x14ac:dyDescent="0.25"/>
  <cols>
    <col min="1" max="1" width="13.140625" customWidth="1"/>
    <col min="2" max="2" width="18.85546875" customWidth="1"/>
    <col min="3" max="3" width="12.5703125" bestFit="1" customWidth="1"/>
    <col min="4" max="4" width="14.140625" customWidth="1"/>
    <col min="5" max="5" width="18.85546875" customWidth="1"/>
    <col min="6" max="6" width="14.85546875" bestFit="1" customWidth="1"/>
    <col min="7" max="7" width="13.140625" customWidth="1"/>
    <col min="8" max="8" width="14.42578125" customWidth="1"/>
    <col min="9" max="9" width="14.140625" bestFit="1" customWidth="1"/>
    <col min="10" max="10" width="13.140625" customWidth="1"/>
    <col min="11" max="11" width="21.42578125" customWidth="1"/>
  </cols>
  <sheetData>
    <row r="3" spans="1:11" x14ac:dyDescent="0.25">
      <c r="B3" t="s">
        <v>0</v>
      </c>
      <c r="D3" t="s">
        <v>1</v>
      </c>
      <c r="F3" t="s">
        <v>2</v>
      </c>
      <c r="H3" t="s">
        <v>3</v>
      </c>
      <c r="J3" t="s">
        <v>4</v>
      </c>
    </row>
    <row r="4" spans="1:11" x14ac:dyDescent="0.25">
      <c r="B4" s="1">
        <v>3000</v>
      </c>
      <c r="D4" s="4">
        <v>1495.4693333333332</v>
      </c>
      <c r="F4" s="4">
        <v>374.41466666666668</v>
      </c>
      <c r="H4" s="1">
        <v>85.03</v>
      </c>
      <c r="J4" s="4">
        <v>418.81468333333333</v>
      </c>
    </row>
    <row r="6" spans="1:11" x14ac:dyDescent="0.25">
      <c r="A6" s="2" t="s">
        <v>5</v>
      </c>
      <c r="B6" t="s">
        <v>11</v>
      </c>
      <c r="D6" s="2" t="s">
        <v>5</v>
      </c>
      <c r="E6" t="s">
        <v>30</v>
      </c>
    </row>
    <row r="7" spans="1:11" x14ac:dyDescent="0.25">
      <c r="A7" s="3" t="s">
        <v>6</v>
      </c>
      <c r="B7" s="1">
        <v>747</v>
      </c>
      <c r="D7" s="3" t="s">
        <v>20</v>
      </c>
      <c r="E7" s="5">
        <v>1149.1453287197232</v>
      </c>
      <c r="G7" s="2" t="s">
        <v>5</v>
      </c>
      <c r="H7" t="s">
        <v>19</v>
      </c>
    </row>
    <row r="8" spans="1:11" x14ac:dyDescent="0.25">
      <c r="A8" s="3" t="s">
        <v>7</v>
      </c>
      <c r="B8" s="1">
        <v>794</v>
      </c>
      <c r="D8" s="3" t="s">
        <v>21</v>
      </c>
      <c r="E8" s="5">
        <v>1089.5337620578778</v>
      </c>
      <c r="G8" s="3" t="s">
        <v>16</v>
      </c>
      <c r="H8" s="1">
        <v>996</v>
      </c>
    </row>
    <row r="9" spans="1:11" x14ac:dyDescent="0.25">
      <c r="A9" s="3" t="s">
        <v>8</v>
      </c>
      <c r="B9" s="1">
        <v>719</v>
      </c>
      <c r="D9" s="3" t="s">
        <v>22</v>
      </c>
      <c r="E9" s="5">
        <v>1088.8344155844156</v>
      </c>
      <c r="G9" s="3" t="s">
        <v>17</v>
      </c>
      <c r="H9" s="1">
        <v>984</v>
      </c>
    </row>
    <row r="10" spans="1:11" x14ac:dyDescent="0.25">
      <c r="A10" s="3" t="s">
        <v>9</v>
      </c>
      <c r="B10" s="1">
        <v>740</v>
      </c>
      <c r="D10" s="3" t="s">
        <v>23</v>
      </c>
      <c r="E10" s="5">
        <v>1097.6996904024768</v>
      </c>
      <c r="G10" s="3" t="s">
        <v>18</v>
      </c>
      <c r="H10" s="1">
        <v>1020</v>
      </c>
    </row>
    <row r="11" spans="1:11" x14ac:dyDescent="0.25">
      <c r="A11" s="3" t="s">
        <v>10</v>
      </c>
      <c r="B11" s="1">
        <v>3000</v>
      </c>
      <c r="D11" s="3" t="s">
        <v>24</v>
      </c>
      <c r="E11" s="5">
        <v>1084.3501683501684</v>
      </c>
      <c r="G11" s="3" t="s">
        <v>10</v>
      </c>
      <c r="H11" s="1">
        <v>3000</v>
      </c>
    </row>
    <row r="12" spans="1:11" x14ac:dyDescent="0.25">
      <c r="D12" s="3" t="s">
        <v>25</v>
      </c>
      <c r="E12" s="5">
        <v>1062.3881118881118</v>
      </c>
    </row>
    <row r="13" spans="1:11" x14ac:dyDescent="0.25">
      <c r="A13" s="2" t="s">
        <v>5</v>
      </c>
      <c r="B13" t="s">
        <v>11</v>
      </c>
      <c r="D13" s="3" t="s">
        <v>26</v>
      </c>
      <c r="E13" s="5">
        <v>1129.1638225255972</v>
      </c>
      <c r="J13" s="3"/>
      <c r="K13" s="1"/>
    </row>
    <row r="14" spans="1:11" x14ac:dyDescent="0.25">
      <c r="A14" s="3" t="s">
        <v>20</v>
      </c>
      <c r="B14" s="1">
        <v>289</v>
      </c>
      <c r="D14" s="3" t="s">
        <v>27</v>
      </c>
      <c r="E14" s="5">
        <v>1097.7382550335572</v>
      </c>
      <c r="G14" s="3"/>
      <c r="H14" s="1"/>
      <c r="J14" s="3"/>
      <c r="K14" s="1"/>
    </row>
    <row r="15" spans="1:11" x14ac:dyDescent="0.25">
      <c r="A15" s="3" t="s">
        <v>21</v>
      </c>
      <c r="B15" s="1">
        <v>311</v>
      </c>
      <c r="D15" s="3" t="s">
        <v>28</v>
      </c>
      <c r="E15" s="5">
        <v>1123.0627177700349</v>
      </c>
      <c r="G15" s="3"/>
      <c r="H15" s="1"/>
      <c r="J15" s="3"/>
      <c r="K15" s="1"/>
    </row>
    <row r="16" spans="1:11" x14ac:dyDescent="0.25">
      <c r="A16" s="3" t="s">
        <v>22</v>
      </c>
      <c r="B16" s="1">
        <v>308</v>
      </c>
      <c r="D16" s="3" t="s">
        <v>29</v>
      </c>
      <c r="E16" s="5">
        <v>1121.9025974025974</v>
      </c>
      <c r="G16" s="3"/>
      <c r="H16" s="1"/>
      <c r="J16" s="3"/>
      <c r="K16" s="1"/>
    </row>
    <row r="17" spans="1:11" x14ac:dyDescent="0.25">
      <c r="A17" s="3" t="s">
        <v>23</v>
      </c>
      <c r="B17" s="1">
        <v>323</v>
      </c>
      <c r="D17" s="3" t="s">
        <v>10</v>
      </c>
      <c r="E17" s="5">
        <v>1104.1990000000001</v>
      </c>
      <c r="G17" s="3"/>
      <c r="H17" s="1"/>
      <c r="J17" s="3"/>
      <c r="K17" s="1"/>
    </row>
    <row r="18" spans="1:11" x14ac:dyDescent="0.25">
      <c r="A18" s="3" t="s">
        <v>24</v>
      </c>
      <c r="B18" s="1">
        <v>297</v>
      </c>
      <c r="G18" s="3"/>
      <c r="H18" s="1"/>
    </row>
    <row r="19" spans="1:11" x14ac:dyDescent="0.25">
      <c r="A19" s="3" t="s">
        <v>25</v>
      </c>
      <c r="B19" s="1">
        <v>286</v>
      </c>
      <c r="D19" s="2" t="s">
        <v>5</v>
      </c>
      <c r="E19" t="s">
        <v>11</v>
      </c>
    </row>
    <row r="20" spans="1:11" x14ac:dyDescent="0.25">
      <c r="A20" s="3" t="s">
        <v>26</v>
      </c>
      <c r="B20" s="1">
        <v>293</v>
      </c>
      <c r="D20" s="3" t="s">
        <v>12</v>
      </c>
      <c r="E20" s="1">
        <v>773</v>
      </c>
    </row>
    <row r="21" spans="1:11" x14ac:dyDescent="0.25">
      <c r="A21" s="3" t="s">
        <v>27</v>
      </c>
      <c r="B21" s="1">
        <v>298</v>
      </c>
      <c r="D21" s="3" t="s">
        <v>13</v>
      </c>
      <c r="E21" s="1">
        <v>738</v>
      </c>
    </row>
    <row r="22" spans="1:11" x14ac:dyDescent="0.25">
      <c r="A22" s="3" t="s">
        <v>28</v>
      </c>
      <c r="B22" s="1">
        <v>287</v>
      </c>
      <c r="D22" s="3" t="s">
        <v>14</v>
      </c>
      <c r="E22" s="1">
        <v>765</v>
      </c>
    </row>
    <row r="23" spans="1:11" x14ac:dyDescent="0.25">
      <c r="A23" s="3" t="s">
        <v>29</v>
      </c>
      <c r="B23" s="1">
        <v>308</v>
      </c>
      <c r="D23" s="3" t="s">
        <v>15</v>
      </c>
      <c r="E23" s="1">
        <v>724</v>
      </c>
    </row>
    <row r="24" spans="1:11" x14ac:dyDescent="0.25">
      <c r="A24" s="3" t="s">
        <v>10</v>
      </c>
      <c r="B24" s="1">
        <v>3000</v>
      </c>
      <c r="D24" s="3" t="s">
        <v>10</v>
      </c>
      <c r="E24" s="1">
        <v>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4"/>
  <sheetViews>
    <sheetView tabSelected="1" workbookViewId="0">
      <selection activeCell="S3" sqref="S3"/>
    </sheetView>
  </sheetViews>
  <sheetFormatPr defaultRowHeight="15" x14ac:dyDescent="0.25"/>
  <sheetData>
    <row r="1" spans="1:20" x14ac:dyDescent="0.25">
      <c r="A1" s="7"/>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R2" s="7"/>
      <c r="S2" s="7"/>
      <c r="T2" s="7"/>
    </row>
    <row r="3" spans="1:20" x14ac:dyDescent="0.25">
      <c r="A3" s="7"/>
      <c r="B3" s="7"/>
      <c r="C3" s="7"/>
      <c r="D3" s="7"/>
      <c r="E3" s="7"/>
      <c r="F3" s="7"/>
      <c r="G3" s="7"/>
      <c r="H3" s="7"/>
      <c r="I3" s="7"/>
      <c r="J3" s="7"/>
      <c r="K3" s="7"/>
      <c r="L3" s="7"/>
      <c r="M3" s="7"/>
      <c r="N3" s="7"/>
      <c r="O3" s="7"/>
      <c r="P3" s="7"/>
      <c r="Q3" s="7"/>
      <c r="R3" s="7"/>
      <c r="S3" s="7"/>
      <c r="T3" s="7"/>
    </row>
    <row r="4" spans="1:20" x14ac:dyDescent="0.25">
      <c r="A4" s="7"/>
      <c r="B4" s="7"/>
      <c r="C4" s="7"/>
      <c r="D4" s="7"/>
      <c r="E4" s="7"/>
      <c r="F4" s="7"/>
      <c r="G4" s="7"/>
      <c r="H4" s="7"/>
      <c r="I4" s="7"/>
      <c r="J4" s="7"/>
      <c r="K4" s="7"/>
      <c r="L4" s="7"/>
      <c r="M4" s="7"/>
      <c r="N4" s="7"/>
      <c r="O4" s="7"/>
      <c r="P4" s="7"/>
      <c r="Q4" s="7"/>
      <c r="R4" s="7"/>
      <c r="S4" s="7"/>
      <c r="T4" s="7"/>
    </row>
    <row r="5" spans="1:20" x14ac:dyDescent="0.25">
      <c r="A5" s="7"/>
      <c r="B5" s="8"/>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row r="10" spans="1:20" x14ac:dyDescent="0.25">
      <c r="A10" s="7"/>
      <c r="B10" s="7"/>
      <c r="C10" s="7"/>
      <c r="D10" s="7"/>
      <c r="E10" s="7"/>
      <c r="F10" s="7"/>
      <c r="G10" s="7"/>
      <c r="H10" s="7"/>
      <c r="I10" s="7"/>
      <c r="J10" s="7"/>
      <c r="K10" s="7"/>
      <c r="L10" s="7"/>
      <c r="M10" s="7"/>
      <c r="N10" s="7"/>
      <c r="O10" s="7"/>
      <c r="P10" s="7"/>
      <c r="Q10" s="7"/>
      <c r="R10" s="7"/>
      <c r="S10" s="7"/>
      <c r="T10" s="7"/>
    </row>
    <row r="11" spans="1:20" x14ac:dyDescent="0.25">
      <c r="A11" s="7"/>
      <c r="B11" s="7"/>
      <c r="C11" s="7"/>
      <c r="D11" s="7"/>
      <c r="E11" s="7"/>
      <c r="F11" s="7"/>
      <c r="G11" s="7"/>
      <c r="H11" s="7"/>
      <c r="I11" s="7"/>
      <c r="J11" s="7"/>
      <c r="K11" s="7"/>
      <c r="L11" s="7"/>
      <c r="M11" s="7"/>
      <c r="N11" s="7"/>
      <c r="O11" s="7"/>
      <c r="P11" s="7"/>
      <c r="Q11" s="7"/>
      <c r="R11" s="7"/>
      <c r="S11" s="7"/>
      <c r="T11" s="7"/>
    </row>
    <row r="12" spans="1:20" x14ac:dyDescent="0.25">
      <c r="A12" s="7"/>
      <c r="B12" s="7"/>
      <c r="C12" s="7"/>
      <c r="D12" s="7"/>
      <c r="E12" s="7"/>
      <c r="F12" s="7"/>
      <c r="G12" s="7"/>
      <c r="H12" s="7"/>
      <c r="I12" s="7"/>
      <c r="J12" s="7"/>
      <c r="K12" s="7"/>
      <c r="L12" s="7"/>
      <c r="M12" s="7"/>
      <c r="N12" s="7"/>
      <c r="O12" s="7"/>
      <c r="P12" s="7"/>
      <c r="Q12" s="7"/>
      <c r="R12" s="7"/>
      <c r="S12" s="7"/>
      <c r="T12" s="7"/>
    </row>
    <row r="13" spans="1:20" x14ac:dyDescent="0.25">
      <c r="A13" s="7"/>
      <c r="B13" s="7"/>
      <c r="C13" s="7"/>
      <c r="D13" s="7"/>
      <c r="E13" s="7"/>
      <c r="F13" s="7"/>
      <c r="G13" s="7"/>
      <c r="H13" s="7"/>
      <c r="I13" s="7"/>
      <c r="J13" s="7"/>
      <c r="K13" s="7"/>
      <c r="L13" s="7"/>
      <c r="M13" s="7"/>
      <c r="N13" s="7"/>
      <c r="O13" s="7"/>
      <c r="P13" s="7"/>
      <c r="Q13" s="7"/>
      <c r="R13" s="7"/>
      <c r="S13" s="7"/>
      <c r="T13" s="7"/>
    </row>
    <row r="14" spans="1:20" x14ac:dyDescent="0.25">
      <c r="A14" s="7"/>
      <c r="B14" s="7"/>
      <c r="C14" s="7"/>
      <c r="D14" s="7"/>
      <c r="E14" s="7"/>
      <c r="F14" s="7"/>
      <c r="G14" s="7"/>
      <c r="H14" s="7"/>
      <c r="I14" s="7"/>
      <c r="J14" s="7"/>
      <c r="K14" s="7"/>
      <c r="L14" s="7"/>
      <c r="M14" s="7"/>
      <c r="N14" s="7"/>
      <c r="O14" s="7"/>
      <c r="P14" s="7"/>
      <c r="Q14" s="7"/>
      <c r="R14" s="7"/>
      <c r="S14" s="7"/>
      <c r="T14" s="7"/>
    </row>
    <row r="15" spans="1:20" x14ac:dyDescent="0.25">
      <c r="A15" s="7"/>
      <c r="B15" s="7"/>
      <c r="C15" s="7"/>
      <c r="D15" s="7"/>
      <c r="E15" s="7"/>
      <c r="F15" s="7"/>
      <c r="G15" s="7"/>
      <c r="H15" s="7"/>
      <c r="I15" s="7"/>
      <c r="J15" s="7"/>
      <c r="K15" s="7"/>
      <c r="L15" s="7"/>
      <c r="M15" s="7"/>
      <c r="N15" s="7"/>
      <c r="O15" s="7"/>
      <c r="P15" s="7"/>
      <c r="Q15" s="7"/>
      <c r="R15" s="7"/>
      <c r="S15" s="7"/>
      <c r="T15" s="7"/>
    </row>
    <row r="16" spans="1:20" x14ac:dyDescent="0.25">
      <c r="A16" s="7"/>
      <c r="B16" s="7"/>
      <c r="C16" s="7"/>
      <c r="D16" s="7"/>
      <c r="E16" s="7"/>
      <c r="F16" s="7"/>
      <c r="G16" s="7"/>
      <c r="H16" s="7"/>
      <c r="I16" s="7"/>
      <c r="J16" s="7"/>
      <c r="K16" s="7"/>
      <c r="L16" s="7"/>
      <c r="M16" s="7"/>
      <c r="N16" s="7"/>
      <c r="O16" s="7"/>
      <c r="P16" s="7"/>
      <c r="Q16" s="7"/>
      <c r="R16" s="7"/>
      <c r="S16" s="7"/>
      <c r="T16" s="7"/>
    </row>
    <row r="17" spans="1:20" x14ac:dyDescent="0.25">
      <c r="A17" s="7"/>
      <c r="B17" s="7"/>
      <c r="C17" s="7"/>
      <c r="D17" s="7"/>
      <c r="E17" s="7"/>
      <c r="F17" s="7"/>
      <c r="G17" s="7"/>
      <c r="H17" s="7"/>
      <c r="I17" s="7"/>
      <c r="J17" s="7"/>
      <c r="K17" s="7"/>
      <c r="L17" s="7"/>
      <c r="M17" s="7"/>
      <c r="N17" s="7"/>
      <c r="O17" s="7"/>
      <c r="P17" s="7"/>
      <c r="Q17" s="7"/>
      <c r="R17" s="7"/>
      <c r="S17" s="7"/>
      <c r="T17" s="7"/>
    </row>
    <row r="18" spans="1:20" x14ac:dyDescent="0.25">
      <c r="A18" s="7"/>
      <c r="B18" s="7"/>
      <c r="C18" s="7"/>
      <c r="D18" s="7"/>
      <c r="E18" s="7"/>
      <c r="F18" s="7"/>
      <c r="G18" s="7"/>
      <c r="H18" s="7"/>
      <c r="I18" s="7"/>
      <c r="J18" s="7"/>
      <c r="K18" s="7"/>
      <c r="L18" s="7"/>
      <c r="M18" s="7"/>
      <c r="N18" s="7"/>
      <c r="O18" s="7"/>
      <c r="P18" s="7"/>
      <c r="Q18" s="7"/>
      <c r="R18" s="7"/>
      <c r="S18" s="7"/>
      <c r="T18" s="7"/>
    </row>
    <row r="19" spans="1:20" x14ac:dyDescent="0.25">
      <c r="A19" s="7"/>
      <c r="B19" s="7"/>
      <c r="C19" s="7"/>
      <c r="D19" s="7"/>
      <c r="E19" s="7"/>
      <c r="F19" s="7"/>
      <c r="G19" s="7"/>
      <c r="H19" s="7"/>
      <c r="I19" s="7"/>
      <c r="J19" s="7"/>
      <c r="K19" s="7"/>
      <c r="L19" s="7"/>
      <c r="M19" s="7"/>
      <c r="N19" s="7"/>
      <c r="O19" s="7"/>
      <c r="P19" s="7"/>
      <c r="Q19" s="7"/>
      <c r="R19" s="7"/>
      <c r="S19" s="7"/>
      <c r="T19" s="7"/>
    </row>
    <row r="20" spans="1:20" x14ac:dyDescent="0.25">
      <c r="A20" s="7"/>
      <c r="B20" s="7"/>
      <c r="C20" s="7"/>
      <c r="D20" s="7"/>
      <c r="E20" s="7"/>
      <c r="F20" s="7"/>
      <c r="G20" s="7"/>
      <c r="H20" s="7"/>
      <c r="I20" s="7"/>
      <c r="J20" s="7"/>
      <c r="K20" s="7"/>
      <c r="L20" s="7"/>
      <c r="M20" s="7"/>
      <c r="N20" s="7"/>
      <c r="O20" s="7"/>
      <c r="P20" s="7"/>
      <c r="Q20" s="7"/>
      <c r="R20" s="7"/>
      <c r="S20" s="7"/>
      <c r="T20" s="7"/>
    </row>
    <row r="21" spans="1:20" x14ac:dyDescent="0.25">
      <c r="A21" s="7"/>
      <c r="B21" s="7"/>
      <c r="C21" s="7"/>
      <c r="D21" s="7"/>
      <c r="E21" s="7"/>
      <c r="F21" s="7"/>
      <c r="G21" s="7"/>
      <c r="H21" s="7"/>
      <c r="I21" s="7"/>
      <c r="J21" s="7"/>
      <c r="K21" s="7"/>
      <c r="L21" s="7"/>
      <c r="M21" s="7"/>
      <c r="N21" s="7"/>
      <c r="O21" s="7"/>
      <c r="P21" s="7"/>
      <c r="Q21" s="7"/>
      <c r="R21" s="7"/>
      <c r="S21" s="7"/>
      <c r="T21" s="7"/>
    </row>
    <row r="22" spans="1:20" x14ac:dyDescent="0.25">
      <c r="A22" s="7"/>
      <c r="B22" s="7"/>
      <c r="C22" s="7"/>
      <c r="D22" s="7"/>
      <c r="E22" s="7"/>
      <c r="F22" s="7"/>
      <c r="G22" s="7"/>
      <c r="H22" s="7"/>
      <c r="I22" s="7"/>
      <c r="J22" s="7"/>
      <c r="K22" s="7"/>
      <c r="L22" s="7"/>
      <c r="M22" s="7"/>
      <c r="N22" s="7"/>
      <c r="O22" s="7"/>
      <c r="P22" s="7"/>
      <c r="Q22" s="7"/>
      <c r="R22" s="7"/>
      <c r="S22" s="7"/>
      <c r="T22" s="7"/>
    </row>
    <row r="23" spans="1:20" x14ac:dyDescent="0.25">
      <c r="A23" s="7"/>
      <c r="B23" s="7"/>
      <c r="C23" s="7"/>
      <c r="D23" s="7"/>
      <c r="E23" s="7"/>
      <c r="F23" s="7"/>
      <c r="G23" s="7"/>
      <c r="H23" s="7"/>
      <c r="I23" s="7"/>
      <c r="J23" s="7"/>
      <c r="K23" s="7"/>
      <c r="L23" s="7"/>
      <c r="M23" s="7"/>
      <c r="N23" s="7"/>
      <c r="O23" s="7"/>
      <c r="P23" s="7"/>
      <c r="Q23" s="7"/>
      <c r="R23" s="7"/>
      <c r="S23" s="7"/>
      <c r="T23" s="7"/>
    </row>
    <row r="24" spans="1:20" x14ac:dyDescent="0.25">
      <c r="A24" s="6"/>
      <c r="B24" s="6"/>
      <c r="C24" s="6"/>
      <c r="D24" s="6"/>
      <c r="E24" s="6"/>
      <c r="F24" s="6"/>
      <c r="G24" s="6"/>
      <c r="H24" s="6"/>
      <c r="I24" s="6"/>
      <c r="J24" s="6"/>
      <c r="K24" s="6"/>
      <c r="L24" s="6"/>
      <c r="M24" s="6"/>
      <c r="N24" s="6"/>
      <c r="O24" s="6"/>
      <c r="P24" s="6"/>
      <c r="Q24" s="6"/>
      <c r="R24" s="6"/>
      <c r="S24" s="6"/>
      <c r="T24"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44F8626-F4D2-4E28-9EC2-695CB9F07B5C}">
  <ds:schemaRefs/>
</ds:datastoreItem>
</file>

<file path=customXml/itemProps2.xml><?xml version="1.0" encoding="utf-8"?>
<ds:datastoreItem xmlns:ds="http://schemas.openxmlformats.org/officeDocument/2006/customXml" ds:itemID="{2DD7B587-6787-41EF-91A4-B5C235C4F50A}">
  <ds:schemaRefs/>
</ds:datastoreItem>
</file>

<file path=customXml/itemProps3.xml><?xml version="1.0" encoding="utf-8"?>
<ds:datastoreItem xmlns:ds="http://schemas.openxmlformats.org/officeDocument/2006/customXml" ds:itemID="{9F462B3E-6003-48CD-BF0C-2EE42BFEBA12}">
  <ds:schemaRefs/>
</ds:datastoreItem>
</file>

<file path=customXml/itemProps4.xml><?xml version="1.0" encoding="utf-8"?>
<ds:datastoreItem xmlns:ds="http://schemas.openxmlformats.org/officeDocument/2006/customXml" ds:itemID="{D2B65E93-D4E4-425F-BF13-022D016D48F3}">
  <ds:schemaRefs/>
</ds:datastoreItem>
</file>

<file path=customXml/itemProps5.xml><?xml version="1.0" encoding="utf-8"?>
<ds:datastoreItem xmlns:ds="http://schemas.openxmlformats.org/officeDocument/2006/customXml" ds:itemID="{42B1ABAC-F1FC-498C-A0E2-ECB76652DD5B}">
  <ds:schemaRefs/>
</ds:datastoreItem>
</file>

<file path=customXml/itemProps6.xml><?xml version="1.0" encoding="utf-8"?>
<ds:datastoreItem xmlns:ds="http://schemas.openxmlformats.org/officeDocument/2006/customXml" ds:itemID="{2B26D02E-E4BC-4FBE-AC1C-FE9DCFEC97B4}">
  <ds:schemaRefs/>
</ds:datastoreItem>
</file>

<file path=customXml/itemProps7.xml><?xml version="1.0" encoding="utf-8"?>
<ds:datastoreItem xmlns:ds="http://schemas.openxmlformats.org/officeDocument/2006/customXml" ds:itemID="{0F244FFA-482C-43C8-8236-3224F1629841}">
  <ds:schemaRefs/>
</ds:datastoreItem>
</file>

<file path=customXml/itemProps8.xml><?xml version="1.0" encoding="utf-8"?>
<ds:datastoreItem xmlns:ds="http://schemas.openxmlformats.org/officeDocument/2006/customXml" ds:itemID="{E38C50E9-0029-4090-8DAF-B9CAF6C3A8F1}">
  <ds:schemaRefs/>
</ds:datastoreItem>
</file>

<file path=customXml/itemProps9.xml><?xml version="1.0" encoding="utf-8"?>
<ds:datastoreItem xmlns:ds="http://schemas.openxmlformats.org/officeDocument/2006/customXml" ds:itemID="{9D7ADEDE-27CC-451B-B3B0-30D3EC761B96}">
  <ds:schemaRefs/>
</ds:datastoreItem>
</file>

<file path=customXml/itemProps10.xml><?xml version="1.0" encoding="utf-8"?>
<ds:datastoreItem xmlns:ds="http://schemas.openxmlformats.org/officeDocument/2006/customXml" ds:itemID="{2D58BB1D-8C8A-4925-927A-5ABC3BA7B622}">
  <ds:schemaRefs/>
</ds:datastoreItem>
</file>

<file path=customXml/itemProps11.xml><?xml version="1.0" encoding="utf-8"?>
<ds:datastoreItem xmlns:ds="http://schemas.openxmlformats.org/officeDocument/2006/customXml" ds:itemID="{CB90F85D-6B21-42E9-AB02-BDBED25B4629}">
  <ds:schemaRefs/>
</ds:datastoreItem>
</file>

<file path=customXml/itemProps12.xml><?xml version="1.0" encoding="utf-8"?>
<ds:datastoreItem xmlns:ds="http://schemas.openxmlformats.org/officeDocument/2006/customXml" ds:itemID="{A5642751-DFEE-44DB-8884-FA59D01116C0}">
  <ds:schemaRefs/>
</ds:datastoreItem>
</file>

<file path=customXml/itemProps13.xml><?xml version="1.0" encoding="utf-8"?>
<ds:datastoreItem xmlns:ds="http://schemas.openxmlformats.org/officeDocument/2006/customXml" ds:itemID="{3FFFFAB8-351D-4B0F-841C-FE5E6EC6C784}">
  <ds:schemaRefs/>
</ds:datastoreItem>
</file>

<file path=customXml/itemProps14.xml><?xml version="1.0" encoding="utf-8"?>
<ds:datastoreItem xmlns:ds="http://schemas.openxmlformats.org/officeDocument/2006/customXml" ds:itemID="{FAEC84FC-A52C-4886-877C-2AC46D6DB716}">
  <ds:schemaRefs/>
</ds:datastoreItem>
</file>

<file path=customXml/itemProps15.xml><?xml version="1.0" encoding="utf-8"?>
<ds:datastoreItem xmlns:ds="http://schemas.openxmlformats.org/officeDocument/2006/customXml" ds:itemID="{3CC0CC10-FCF4-4C8E-B304-B5B65566A381}">
  <ds:schemaRefs/>
</ds:datastoreItem>
</file>

<file path=customXml/itemProps16.xml><?xml version="1.0" encoding="utf-8"?>
<ds:datastoreItem xmlns:ds="http://schemas.openxmlformats.org/officeDocument/2006/customXml" ds:itemID="{D1109A9C-A565-4D6D-923B-481255153A28}">
  <ds:schemaRefs/>
</ds:datastoreItem>
</file>

<file path=customXml/itemProps17.xml><?xml version="1.0" encoding="utf-8"?>
<ds:datastoreItem xmlns:ds="http://schemas.openxmlformats.org/officeDocument/2006/customXml" ds:itemID="{F54C9DE1-ED3F-40A4-B6A7-A47AC23C7B18}">
  <ds:schemaRefs/>
</ds:datastoreItem>
</file>

<file path=customXml/itemProps18.xml><?xml version="1.0" encoding="utf-8"?>
<ds:datastoreItem xmlns:ds="http://schemas.openxmlformats.org/officeDocument/2006/customXml" ds:itemID="{6863F0C3-3FDA-40A8-8DF6-6DACE42ED9CB}">
  <ds:schemaRefs/>
</ds:datastoreItem>
</file>

<file path=customXml/itemProps19.xml><?xml version="1.0" encoding="utf-8"?>
<ds:datastoreItem xmlns:ds="http://schemas.openxmlformats.org/officeDocument/2006/customXml" ds:itemID="{5CF34D01-2653-4C65-8860-BAAC1F45B08F}">
  <ds:schemaRefs/>
</ds:datastoreItem>
</file>

<file path=customXml/itemProps20.xml><?xml version="1.0" encoding="utf-8"?>
<ds:datastoreItem xmlns:ds="http://schemas.openxmlformats.org/officeDocument/2006/customXml" ds:itemID="{754DAA05-0F6E-44F7-8CE2-7771A8007269}">
  <ds:schemaRefs/>
</ds:datastoreItem>
</file>

<file path=customXml/itemProps21.xml><?xml version="1.0" encoding="utf-8"?>
<ds:datastoreItem xmlns:ds="http://schemas.openxmlformats.org/officeDocument/2006/customXml" ds:itemID="{1FBEAB9D-1ABD-48DE-BA55-24E626EACC18}">
  <ds:schemaRefs/>
</ds:datastoreItem>
</file>

<file path=customXml/itemProps22.xml><?xml version="1.0" encoding="utf-8"?>
<ds:datastoreItem xmlns:ds="http://schemas.openxmlformats.org/officeDocument/2006/customXml" ds:itemID="{A9401E57-6652-4C17-AB13-F3ADFC61446E}">
  <ds:schemaRefs>
    <ds:schemaRef ds:uri="http://schemas.microsoft.com/DataMashup"/>
  </ds:schemaRefs>
</ds:datastoreItem>
</file>

<file path=customXml/itemProps23.xml><?xml version="1.0" encoding="utf-8"?>
<ds:datastoreItem xmlns:ds="http://schemas.openxmlformats.org/officeDocument/2006/customXml" ds:itemID="{A802DED3-7476-4FDD-B6FD-01CCDAA85605}">
  <ds:schemaRefs/>
</ds:datastoreItem>
</file>

<file path=customXml/itemProps24.xml><?xml version="1.0" encoding="utf-8"?>
<ds:datastoreItem xmlns:ds="http://schemas.openxmlformats.org/officeDocument/2006/customXml" ds:itemID="{8FCBEF84-D640-4446-86FA-E3F9A0348356}">
  <ds:schemaRefs/>
</ds:datastoreItem>
</file>

<file path=customXml/itemProps25.xml><?xml version="1.0" encoding="utf-8"?>
<ds:datastoreItem xmlns:ds="http://schemas.openxmlformats.org/officeDocument/2006/customXml" ds:itemID="{1B0F9006-7349-4FE5-A8FE-0A1E9F4F9909}">
  <ds:schemaRefs/>
</ds:datastoreItem>
</file>

<file path=customXml/itemProps26.xml><?xml version="1.0" encoding="utf-8"?>
<ds:datastoreItem xmlns:ds="http://schemas.openxmlformats.org/officeDocument/2006/customXml" ds:itemID="{32ED126A-8EDA-488C-8B98-FA3942723DEE}">
  <ds:schemaRefs/>
</ds:datastoreItem>
</file>

<file path=customXml/itemProps27.xml><?xml version="1.0" encoding="utf-8"?>
<ds:datastoreItem xmlns:ds="http://schemas.openxmlformats.org/officeDocument/2006/customXml" ds:itemID="{E81A5C98-C131-4431-9800-2A1F7F33CEC6}">
  <ds:schemaRefs/>
</ds:datastoreItem>
</file>

<file path=customXml/itemProps28.xml><?xml version="1.0" encoding="utf-8"?>
<ds:datastoreItem xmlns:ds="http://schemas.openxmlformats.org/officeDocument/2006/customXml" ds:itemID="{51C13EDC-2208-44B2-BC97-8EA702B8E819}">
  <ds:schemaRefs/>
</ds:datastoreItem>
</file>

<file path=customXml/itemProps29.xml><?xml version="1.0" encoding="utf-8"?>
<ds:datastoreItem xmlns:ds="http://schemas.openxmlformats.org/officeDocument/2006/customXml" ds:itemID="{A4A0336B-2007-4D14-856F-7356D253E58B}">
  <ds:schemaRefs/>
</ds:datastoreItem>
</file>

<file path=customXml/itemProps30.xml><?xml version="1.0" encoding="utf-8"?>
<ds:datastoreItem xmlns:ds="http://schemas.openxmlformats.org/officeDocument/2006/customXml" ds:itemID="{C8A29E2D-4AD1-4AFA-9069-DC7DC25E4296}">
  <ds:schemaRefs/>
</ds:datastoreItem>
</file>

<file path=customXml/itemProps31.xml><?xml version="1.0" encoding="utf-8"?>
<ds:datastoreItem xmlns:ds="http://schemas.openxmlformats.org/officeDocument/2006/customXml" ds:itemID="{F267E8B1-2D44-408F-A031-E0338DD9A2CD}">
  <ds:schemaRefs/>
</ds:datastoreItem>
</file>

<file path=customXml/itemProps32.xml><?xml version="1.0" encoding="utf-8"?>
<ds:datastoreItem xmlns:ds="http://schemas.openxmlformats.org/officeDocument/2006/customXml" ds:itemID="{9F862C62-9314-4DBC-B68B-1CE2C3030C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2026-07-13T08:19:51Z</dcterms:created>
  <dcterms:modified xsi:type="dcterms:W3CDTF">2026-07-16T11:18:15Z</dcterms:modified>
</cp:coreProperties>
</file>